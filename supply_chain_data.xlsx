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apple/Desktop/Hybrid_DAE/Project 1 Supply Chain/"/>
    </mc:Choice>
  </mc:AlternateContent>
  <xr:revisionPtr revIDLastSave="0" documentId="13_ncr:1_{EEB2D594-3AB4-D34B-AFAE-5D8ADFFD50EC}" xr6:coauthVersionLast="47" xr6:coauthVersionMax="47" xr10:uidLastSave="{00000000-0000-0000-0000-000000000000}"/>
  <bookViews>
    <workbookView xWindow="0" yWindow="380" windowWidth="25600" windowHeight="15620" activeTab="5" xr2:uid="{5A9E788C-CA9E-A04B-BC01-91D3610696BF}"/>
  </bookViews>
  <sheets>
    <sheet name="Row Data" sheetId="1" r:id="rId1"/>
    <sheet name="Analysis" sheetId="3" r:id="rId2"/>
    <sheet name="Dashboard" sheetId="4" r:id="rId3"/>
    <sheet name="Dictionary" sheetId="2" r:id="rId4"/>
    <sheet name="Documentation" sheetId="5" r:id="rId5"/>
    <sheet name="Business Mode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4" l="1"/>
  <c r="D26" i="4"/>
  <c r="B26" i="4"/>
  <c r="E18" i="4"/>
  <c r="C18" i="4"/>
  <c r="D18" i="4"/>
  <c r="F18" i="4"/>
  <c r="B18" i="4"/>
  <c r="M30" i="4"/>
  <c r="M31" i="4"/>
  <c r="M32" i="4"/>
  <c r="M33" i="4"/>
  <c r="M34" i="4"/>
  <c r="M35" i="4"/>
  <c r="A13" i="3" a="1"/>
  <c r="A13" i="3" s="1"/>
  <c r="D13" i="3" s="1"/>
  <c r="E13" i="4" s="1"/>
  <c r="A31" i="3" a="1"/>
  <c r="A31" i="3" s="1"/>
  <c r="C31" i="3" s="1"/>
  <c r="D27" i="4" s="1"/>
  <c r="A22" i="3" a="1"/>
  <c r="A22" i="3" s="1"/>
  <c r="E22" i="3" s="1"/>
  <c r="F19" i="4" s="1"/>
  <c r="B129" i="3"/>
  <c r="C129" i="3"/>
  <c r="F129" i="3" s="1"/>
  <c r="D129" i="3"/>
  <c r="E129" i="3"/>
  <c r="B130" i="3"/>
  <c r="C130" i="3"/>
  <c r="F130" i="3" s="1"/>
  <c r="D130" i="3"/>
  <c r="E130" i="3"/>
  <c r="B131" i="3"/>
  <c r="C131" i="3"/>
  <c r="F131" i="3" s="1"/>
  <c r="D131" i="3"/>
  <c r="E131" i="3"/>
  <c r="B132" i="3"/>
  <c r="C132" i="3"/>
  <c r="F132" i="3" s="1"/>
  <c r="D132" i="3"/>
  <c r="E132" i="3"/>
  <c r="B133" i="3"/>
  <c r="C133" i="3"/>
  <c r="F133" i="3" s="1"/>
  <c r="D133" i="3"/>
  <c r="E133" i="3"/>
  <c r="B134" i="3"/>
  <c r="C134" i="3"/>
  <c r="F134" i="3" s="1"/>
  <c r="D134" i="3"/>
  <c r="E134" i="3"/>
  <c r="B135" i="3"/>
  <c r="C135" i="3"/>
  <c r="F135" i="3" s="1"/>
  <c r="D135" i="3"/>
  <c r="E135" i="3"/>
  <c r="B136" i="3"/>
  <c r="C136" i="3"/>
  <c r="F136" i="3" s="1"/>
  <c r="D136" i="3"/>
  <c r="E136" i="3"/>
  <c r="B137" i="3"/>
  <c r="C137" i="3"/>
  <c r="F137" i="3" s="1"/>
  <c r="D137" i="3"/>
  <c r="E137" i="3"/>
  <c r="B121" i="3"/>
  <c r="C121" i="3"/>
  <c r="F121" i="3" s="1"/>
  <c r="D121" i="3"/>
  <c r="E121" i="3"/>
  <c r="B122" i="3"/>
  <c r="C122" i="3"/>
  <c r="F122" i="3" s="1"/>
  <c r="D122" i="3"/>
  <c r="E122" i="3"/>
  <c r="B123" i="3"/>
  <c r="C123" i="3"/>
  <c r="F123" i="3" s="1"/>
  <c r="D123" i="3"/>
  <c r="E123" i="3"/>
  <c r="B124" i="3"/>
  <c r="C124" i="3"/>
  <c r="F124" i="3" s="1"/>
  <c r="D124" i="3"/>
  <c r="E124" i="3"/>
  <c r="B125" i="3"/>
  <c r="C125" i="3"/>
  <c r="F125" i="3" s="1"/>
  <c r="D125" i="3"/>
  <c r="E125" i="3"/>
  <c r="B126" i="3"/>
  <c r="C126" i="3"/>
  <c r="F126" i="3" s="1"/>
  <c r="D126" i="3"/>
  <c r="E126" i="3"/>
  <c r="B127" i="3"/>
  <c r="C127" i="3"/>
  <c r="F127" i="3" s="1"/>
  <c r="D127" i="3"/>
  <c r="E127" i="3"/>
  <c r="B128" i="3"/>
  <c r="C128" i="3"/>
  <c r="F128" i="3" s="1"/>
  <c r="D128" i="3"/>
  <c r="E128" i="3"/>
  <c r="B64" i="3"/>
  <c r="C64" i="3"/>
  <c r="F64" i="3" s="1"/>
  <c r="D64" i="3"/>
  <c r="E64" i="3"/>
  <c r="B65" i="3"/>
  <c r="C65" i="3"/>
  <c r="F65" i="3" s="1"/>
  <c r="D65" i="3"/>
  <c r="E65" i="3"/>
  <c r="B66" i="3"/>
  <c r="C66" i="3"/>
  <c r="F66" i="3" s="1"/>
  <c r="D66" i="3"/>
  <c r="E66" i="3"/>
  <c r="B67" i="3"/>
  <c r="C67" i="3"/>
  <c r="F67" i="3" s="1"/>
  <c r="D67" i="3"/>
  <c r="E67" i="3"/>
  <c r="B68" i="3"/>
  <c r="C68" i="3"/>
  <c r="F68" i="3" s="1"/>
  <c r="D68" i="3"/>
  <c r="E68" i="3"/>
  <c r="B69" i="3"/>
  <c r="C69" i="3"/>
  <c r="F69" i="3" s="1"/>
  <c r="D69" i="3"/>
  <c r="E69" i="3"/>
  <c r="B70" i="3"/>
  <c r="C70" i="3"/>
  <c r="F70" i="3" s="1"/>
  <c r="D70" i="3"/>
  <c r="E70" i="3"/>
  <c r="B71" i="3"/>
  <c r="C71" i="3"/>
  <c r="F71" i="3" s="1"/>
  <c r="D71" i="3"/>
  <c r="E71" i="3"/>
  <c r="B72" i="3"/>
  <c r="C72" i="3"/>
  <c r="F72" i="3" s="1"/>
  <c r="D72" i="3"/>
  <c r="E72" i="3"/>
  <c r="B73" i="3"/>
  <c r="C73" i="3"/>
  <c r="F73" i="3" s="1"/>
  <c r="D73" i="3"/>
  <c r="E73" i="3"/>
  <c r="B74" i="3"/>
  <c r="C74" i="3"/>
  <c r="F74" i="3" s="1"/>
  <c r="D74" i="3"/>
  <c r="E74" i="3"/>
  <c r="B75" i="3"/>
  <c r="C75" i="3"/>
  <c r="F75" i="3" s="1"/>
  <c r="D75" i="3"/>
  <c r="E75" i="3"/>
  <c r="B76" i="3"/>
  <c r="C76" i="3"/>
  <c r="F76" i="3" s="1"/>
  <c r="D76" i="3"/>
  <c r="E76" i="3"/>
  <c r="B77" i="3"/>
  <c r="C77" i="3"/>
  <c r="F77" i="3" s="1"/>
  <c r="D77" i="3"/>
  <c r="E77" i="3"/>
  <c r="B78" i="3"/>
  <c r="C78" i="3"/>
  <c r="F78" i="3" s="1"/>
  <c r="D78" i="3"/>
  <c r="E78" i="3"/>
  <c r="B79" i="3"/>
  <c r="C79" i="3"/>
  <c r="F79" i="3" s="1"/>
  <c r="D79" i="3"/>
  <c r="E79" i="3"/>
  <c r="B80" i="3"/>
  <c r="C80" i="3"/>
  <c r="F80" i="3" s="1"/>
  <c r="D80" i="3"/>
  <c r="E80" i="3"/>
  <c r="B81" i="3"/>
  <c r="C81" i="3"/>
  <c r="F81" i="3" s="1"/>
  <c r="D81" i="3"/>
  <c r="E81" i="3"/>
  <c r="B82" i="3"/>
  <c r="C82" i="3"/>
  <c r="F82" i="3" s="1"/>
  <c r="D82" i="3"/>
  <c r="E82" i="3"/>
  <c r="B83" i="3"/>
  <c r="C83" i="3"/>
  <c r="F83" i="3" s="1"/>
  <c r="D83" i="3"/>
  <c r="E83" i="3"/>
  <c r="B84" i="3"/>
  <c r="C84" i="3"/>
  <c r="F84" i="3" s="1"/>
  <c r="D84" i="3"/>
  <c r="E84" i="3"/>
  <c r="B85" i="3"/>
  <c r="C85" i="3"/>
  <c r="F85" i="3" s="1"/>
  <c r="D85" i="3"/>
  <c r="E85" i="3"/>
  <c r="B86" i="3"/>
  <c r="C86" i="3"/>
  <c r="F86" i="3" s="1"/>
  <c r="D86" i="3"/>
  <c r="E86" i="3"/>
  <c r="B87" i="3"/>
  <c r="C87" i="3"/>
  <c r="F87" i="3" s="1"/>
  <c r="D87" i="3"/>
  <c r="E87" i="3"/>
  <c r="B88" i="3"/>
  <c r="C88" i="3"/>
  <c r="F88" i="3" s="1"/>
  <c r="D88" i="3"/>
  <c r="E88" i="3"/>
  <c r="B89" i="3"/>
  <c r="C89" i="3"/>
  <c r="F89" i="3" s="1"/>
  <c r="D89" i="3"/>
  <c r="E89" i="3"/>
  <c r="B90" i="3"/>
  <c r="C90" i="3"/>
  <c r="F90" i="3" s="1"/>
  <c r="D90" i="3"/>
  <c r="E90" i="3"/>
  <c r="B91" i="3"/>
  <c r="C91" i="3"/>
  <c r="F91" i="3" s="1"/>
  <c r="D91" i="3"/>
  <c r="E91" i="3"/>
  <c r="B92" i="3"/>
  <c r="C92" i="3"/>
  <c r="F92" i="3" s="1"/>
  <c r="D92" i="3"/>
  <c r="E92" i="3"/>
  <c r="B93" i="3"/>
  <c r="C93" i="3"/>
  <c r="F93" i="3" s="1"/>
  <c r="D93" i="3"/>
  <c r="E93" i="3"/>
  <c r="B94" i="3"/>
  <c r="C94" i="3"/>
  <c r="F94" i="3" s="1"/>
  <c r="D94" i="3"/>
  <c r="E94" i="3"/>
  <c r="B95" i="3"/>
  <c r="C95" i="3"/>
  <c r="F95" i="3" s="1"/>
  <c r="D95" i="3"/>
  <c r="E95" i="3"/>
  <c r="B96" i="3"/>
  <c r="C96" i="3"/>
  <c r="F96" i="3" s="1"/>
  <c r="D96" i="3"/>
  <c r="E96" i="3"/>
  <c r="B97" i="3"/>
  <c r="C97" i="3"/>
  <c r="F97" i="3" s="1"/>
  <c r="D97" i="3"/>
  <c r="E97" i="3"/>
  <c r="B98" i="3"/>
  <c r="C98" i="3"/>
  <c r="F98" i="3" s="1"/>
  <c r="D98" i="3"/>
  <c r="E98" i="3"/>
  <c r="B99" i="3"/>
  <c r="C99" i="3"/>
  <c r="F99" i="3" s="1"/>
  <c r="D99" i="3"/>
  <c r="E99" i="3"/>
  <c r="B100" i="3"/>
  <c r="C100" i="3"/>
  <c r="F100" i="3" s="1"/>
  <c r="D100" i="3"/>
  <c r="E100" i="3"/>
  <c r="B101" i="3"/>
  <c r="C101" i="3"/>
  <c r="F101" i="3" s="1"/>
  <c r="D101" i="3"/>
  <c r="E101" i="3"/>
  <c r="B102" i="3"/>
  <c r="C102" i="3"/>
  <c r="F102" i="3" s="1"/>
  <c r="D102" i="3"/>
  <c r="E102" i="3"/>
  <c r="B103" i="3"/>
  <c r="C103" i="3"/>
  <c r="F103" i="3" s="1"/>
  <c r="D103" i="3"/>
  <c r="E103" i="3"/>
  <c r="B104" i="3"/>
  <c r="C104" i="3"/>
  <c r="F104" i="3" s="1"/>
  <c r="D104" i="3"/>
  <c r="E104" i="3"/>
  <c r="B105" i="3"/>
  <c r="C105" i="3"/>
  <c r="F105" i="3" s="1"/>
  <c r="D105" i="3"/>
  <c r="E105" i="3"/>
  <c r="B106" i="3"/>
  <c r="C106" i="3"/>
  <c r="F106" i="3" s="1"/>
  <c r="D106" i="3"/>
  <c r="E106" i="3"/>
  <c r="B107" i="3"/>
  <c r="C107" i="3"/>
  <c r="F107" i="3" s="1"/>
  <c r="D107" i="3"/>
  <c r="E107" i="3"/>
  <c r="B108" i="3"/>
  <c r="C108" i="3"/>
  <c r="F108" i="3" s="1"/>
  <c r="D108" i="3"/>
  <c r="E108" i="3"/>
  <c r="B109" i="3"/>
  <c r="C109" i="3"/>
  <c r="F109" i="3" s="1"/>
  <c r="D109" i="3"/>
  <c r="E109" i="3"/>
  <c r="B110" i="3"/>
  <c r="C110" i="3"/>
  <c r="F110" i="3" s="1"/>
  <c r="D110" i="3"/>
  <c r="E110" i="3"/>
  <c r="B111" i="3"/>
  <c r="C111" i="3"/>
  <c r="F111" i="3" s="1"/>
  <c r="D111" i="3"/>
  <c r="E111" i="3"/>
  <c r="B112" i="3"/>
  <c r="C112" i="3"/>
  <c r="F112" i="3" s="1"/>
  <c r="D112" i="3"/>
  <c r="E112" i="3"/>
  <c r="B113" i="3"/>
  <c r="C113" i="3"/>
  <c r="F113" i="3" s="1"/>
  <c r="D113" i="3"/>
  <c r="E113" i="3"/>
  <c r="B114" i="3"/>
  <c r="C114" i="3"/>
  <c r="F114" i="3" s="1"/>
  <c r="D114" i="3"/>
  <c r="E114" i="3"/>
  <c r="B115" i="3"/>
  <c r="C115" i="3"/>
  <c r="F115" i="3" s="1"/>
  <c r="D115" i="3"/>
  <c r="E115" i="3"/>
  <c r="B116" i="3"/>
  <c r="C116" i="3"/>
  <c r="F116" i="3" s="1"/>
  <c r="D116" i="3"/>
  <c r="E116" i="3"/>
  <c r="B117" i="3"/>
  <c r="C117" i="3"/>
  <c r="F117" i="3" s="1"/>
  <c r="D117" i="3"/>
  <c r="E117" i="3"/>
  <c r="B118" i="3"/>
  <c r="C118" i="3"/>
  <c r="F118" i="3" s="1"/>
  <c r="D118" i="3"/>
  <c r="E118" i="3"/>
  <c r="B119" i="3"/>
  <c r="C119" i="3"/>
  <c r="F119" i="3" s="1"/>
  <c r="D119" i="3"/>
  <c r="E119" i="3"/>
  <c r="B120" i="3"/>
  <c r="C120" i="3"/>
  <c r="F120" i="3" s="1"/>
  <c r="D120" i="3"/>
  <c r="E120" i="3"/>
  <c r="B46" i="3"/>
  <c r="C46" i="3"/>
  <c r="F46" i="3" s="1"/>
  <c r="D46" i="3"/>
  <c r="E46" i="3"/>
  <c r="B47" i="3"/>
  <c r="C47" i="3"/>
  <c r="F47" i="3" s="1"/>
  <c r="D47" i="3"/>
  <c r="E47" i="3"/>
  <c r="B48" i="3"/>
  <c r="C48" i="3"/>
  <c r="F48" i="3" s="1"/>
  <c r="D48" i="3"/>
  <c r="E48" i="3"/>
  <c r="B49" i="3"/>
  <c r="C49" i="3"/>
  <c r="F49" i="3" s="1"/>
  <c r="D49" i="3"/>
  <c r="E49" i="3"/>
  <c r="B50" i="3"/>
  <c r="C50" i="3"/>
  <c r="F50" i="3" s="1"/>
  <c r="D50" i="3"/>
  <c r="E50" i="3"/>
  <c r="B51" i="3"/>
  <c r="C51" i="3"/>
  <c r="F51" i="3" s="1"/>
  <c r="D51" i="3"/>
  <c r="E51" i="3"/>
  <c r="B52" i="3"/>
  <c r="C52" i="3"/>
  <c r="F52" i="3" s="1"/>
  <c r="D52" i="3"/>
  <c r="E52" i="3"/>
  <c r="B53" i="3"/>
  <c r="C53" i="3"/>
  <c r="F53" i="3" s="1"/>
  <c r="D53" i="3"/>
  <c r="E53" i="3"/>
  <c r="B54" i="3"/>
  <c r="C54" i="3"/>
  <c r="F54" i="3" s="1"/>
  <c r="D54" i="3"/>
  <c r="E54" i="3"/>
  <c r="B55" i="3"/>
  <c r="C55" i="3"/>
  <c r="F55" i="3" s="1"/>
  <c r="D55" i="3"/>
  <c r="E55" i="3"/>
  <c r="B56" i="3"/>
  <c r="C56" i="3"/>
  <c r="F56" i="3" s="1"/>
  <c r="D56" i="3"/>
  <c r="E56" i="3"/>
  <c r="B57" i="3"/>
  <c r="C57" i="3"/>
  <c r="F57" i="3" s="1"/>
  <c r="D57" i="3"/>
  <c r="E57" i="3"/>
  <c r="B58" i="3"/>
  <c r="C58" i="3"/>
  <c r="F58" i="3" s="1"/>
  <c r="D58" i="3"/>
  <c r="E58" i="3"/>
  <c r="B59" i="3"/>
  <c r="C59" i="3"/>
  <c r="F59" i="3" s="1"/>
  <c r="D59" i="3"/>
  <c r="E59" i="3"/>
  <c r="B60" i="3"/>
  <c r="C60" i="3"/>
  <c r="F60" i="3" s="1"/>
  <c r="D60" i="3"/>
  <c r="E60" i="3"/>
  <c r="B61" i="3"/>
  <c r="C61" i="3"/>
  <c r="F61" i="3" s="1"/>
  <c r="D61" i="3"/>
  <c r="E61" i="3"/>
  <c r="B62" i="3"/>
  <c r="C62" i="3"/>
  <c r="F62" i="3" s="1"/>
  <c r="D62" i="3"/>
  <c r="E62" i="3"/>
  <c r="B63" i="3"/>
  <c r="C63" i="3"/>
  <c r="F63" i="3" s="1"/>
  <c r="D63" i="3"/>
  <c r="E63" i="3"/>
  <c r="B39" i="3"/>
  <c r="C39" i="3"/>
  <c r="F39" i="3" s="1"/>
  <c r="D39" i="3"/>
  <c r="E39" i="3"/>
  <c r="B40" i="3"/>
  <c r="C40" i="3"/>
  <c r="F40" i="3" s="1"/>
  <c r="D40" i="3"/>
  <c r="E40" i="3"/>
  <c r="B41" i="3"/>
  <c r="C41" i="3"/>
  <c r="F41" i="3" s="1"/>
  <c r="D41" i="3"/>
  <c r="E41" i="3"/>
  <c r="B42" i="3"/>
  <c r="C42" i="3"/>
  <c r="F42" i="3" s="1"/>
  <c r="D42" i="3"/>
  <c r="E42" i="3"/>
  <c r="B43" i="3"/>
  <c r="C43" i="3"/>
  <c r="F43" i="3" s="1"/>
  <c r="D43" i="3"/>
  <c r="E43" i="3"/>
  <c r="B44" i="3"/>
  <c r="C44" i="3"/>
  <c r="F44" i="3" s="1"/>
  <c r="D44" i="3"/>
  <c r="E44" i="3"/>
  <c r="B45" i="3"/>
  <c r="C45" i="3"/>
  <c r="F45" i="3" s="1"/>
  <c r="D45" i="3"/>
  <c r="E45" i="3"/>
  <c r="E38" i="3"/>
  <c r="D38" i="3"/>
  <c r="C38" i="3"/>
  <c r="F38" i="3" s="1"/>
  <c r="I13" i="4" s="1" a="1"/>
  <c r="I13" i="4" s="1"/>
  <c r="M13" i="4" s="1"/>
  <c r="B38" i="3"/>
  <c r="B8" i="3"/>
  <c r="B7" i="3"/>
  <c r="B6" i="3"/>
  <c r="B5" i="3"/>
  <c r="B4" i="3"/>
  <c r="F36" i="3" l="1"/>
  <c r="B13" i="4"/>
  <c r="B22" i="4"/>
  <c r="B23" i="4"/>
  <c r="B21" i="4"/>
  <c r="B29" i="4"/>
  <c r="B32" i="3"/>
  <c r="C28" i="4" s="1"/>
  <c r="B20" i="4"/>
  <c r="B27" i="4"/>
  <c r="B15" i="4"/>
  <c r="B14" i="4"/>
  <c r="B19" i="4"/>
  <c r="B28" i="4"/>
  <c r="M29" i="4"/>
  <c r="M21" i="4"/>
  <c r="M17" i="4"/>
  <c r="M24" i="4"/>
  <c r="M16" i="4"/>
  <c r="M27" i="4"/>
  <c r="M23" i="4"/>
  <c r="M19" i="4"/>
  <c r="M15" i="4"/>
  <c r="M25" i="4"/>
  <c r="M28" i="4"/>
  <c r="M20" i="4"/>
  <c r="M26" i="4"/>
  <c r="M22" i="4"/>
  <c r="M18" i="4"/>
  <c r="M14" i="4"/>
  <c r="B26" i="3"/>
  <c r="C23" i="4" s="1"/>
  <c r="G23" i="4" s="1"/>
  <c r="C22" i="3"/>
  <c r="D19" i="4" s="1"/>
  <c r="D26" i="3"/>
  <c r="E23" i="4" s="1"/>
  <c r="C25" i="3"/>
  <c r="D22" i="4" s="1"/>
  <c r="E23" i="3"/>
  <c r="F20" i="4" s="1"/>
  <c r="B31" i="3"/>
  <c r="C27" i="4" s="1"/>
  <c r="C33" i="3"/>
  <c r="D29" i="4" s="1"/>
  <c r="B15" i="3"/>
  <c r="C15" i="4" s="1"/>
  <c r="C14" i="3"/>
  <c r="D14" i="4" s="1"/>
  <c r="B22" i="3"/>
  <c r="C19" i="4" s="1"/>
  <c r="G19" i="4" s="1"/>
  <c r="B25" i="3"/>
  <c r="C22" i="4" s="1"/>
  <c r="G22" i="4" s="1"/>
  <c r="D22" i="3"/>
  <c r="E19" i="4" s="1"/>
  <c r="C26" i="3"/>
  <c r="D23" i="4" s="1"/>
  <c r="E24" i="3"/>
  <c r="F21" i="4" s="1"/>
  <c r="D23" i="3"/>
  <c r="E20" i="4" s="1"/>
  <c r="B33" i="3"/>
  <c r="C29" i="4" s="1"/>
  <c r="C32" i="3"/>
  <c r="D28" i="4" s="1"/>
  <c r="B14" i="3"/>
  <c r="C14" i="4" s="1"/>
  <c r="D15" i="3"/>
  <c r="E15" i="4" s="1"/>
  <c r="B24" i="3"/>
  <c r="C21" i="4" s="1"/>
  <c r="G21" i="4" s="1"/>
  <c r="E25" i="3"/>
  <c r="F22" i="4" s="1"/>
  <c r="D24" i="3"/>
  <c r="E21" i="4" s="1"/>
  <c r="C23" i="3"/>
  <c r="D20" i="4" s="1"/>
  <c r="C13" i="3"/>
  <c r="D13" i="4" s="1"/>
  <c r="D14" i="3"/>
  <c r="E14" i="4" s="1"/>
  <c r="B23" i="3"/>
  <c r="C20" i="4" s="1"/>
  <c r="G20" i="4" s="1"/>
  <c r="E26" i="3"/>
  <c r="F23" i="4" s="1"/>
  <c r="D25" i="3"/>
  <c r="E22" i="4" s="1"/>
  <c r="C24" i="3"/>
  <c r="D21" i="4" s="1"/>
  <c r="B13" i="3"/>
  <c r="C13" i="4" s="1"/>
  <c r="C15" i="3"/>
  <c r="D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<sst xmlns="http://schemas.openxmlformats.org/spreadsheetml/2006/main" count="1245" uniqueCount="300">
  <si>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</si>
  <si>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</si>
  <si>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</si>
  <si>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</si>
  <si>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</si>
  <si>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</si>
  <si>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</si>
  <si>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</si>
  <si>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</si>
  <si>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</si>
  <si>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</si>
  <si>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</si>
  <si>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</si>
  <si>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</si>
  <si>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</si>
  <si>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</si>
  <si>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</si>
  <si>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</si>
  <si>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</si>
  <si>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</si>
  <si>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</si>
  <si>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</si>
  <si>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</si>
  <si>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</si>
  <si>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</si>
  <si>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</si>
  <si>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</si>
  <si>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</si>
  <si>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</si>
  <si>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</si>
  <si>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</si>
  <si>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</si>
  <si>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</si>
  <si>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</si>
  <si>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</si>
  <si>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</si>
  <si>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</si>
  <si>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</si>
  <si>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</si>
  <si>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</si>
  <si>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</si>
  <si>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</si>
  <si>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</si>
  <si>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</si>
  <si>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</si>
  <si>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</si>
  <si>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</si>
  <si>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</si>
  <si>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</si>
  <si>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</si>
  <si>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</si>
  <si>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</si>
  <si>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</si>
  <si>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</si>
  <si>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</si>
  <si>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</si>
  <si>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</si>
  <si>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</si>
  <si>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</si>
  <si>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</si>
  <si>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</si>
  <si>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</si>
  <si>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</si>
  <si>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</si>
  <si>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</si>
  <si>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</si>
  <si>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</si>
  <si>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</si>
  <si>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</si>
  <si>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</si>
  <si>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</si>
  <si>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</si>
  <si>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</si>
  <si>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</si>
  <si>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</si>
  <si>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</si>
  <si>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</si>
  <si>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</si>
  <si>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</si>
  <si>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</si>
  <si>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</si>
  <si>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</si>
  <si>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</si>
  <si>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</si>
  <si>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</si>
  <si>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</si>
  <si>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</si>
  <si>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</si>
  <si>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</si>
  <si>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</si>
  <si>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</si>
  <si>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</si>
  <si>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</si>
  <si>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</si>
  <si>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</si>
  <si>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</si>
  <si>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</si>
  <si>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</si>
  <si>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</si>
  <si>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</si>
  <si>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</si>
  <si>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</si>
  <si>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</si>
  <si>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</si>
  <si>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</si>
  <si>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</si>
  <si>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</si>
  <si>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</si>
  <si>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</si>
  <si>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</si>
  <si>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</si>
  <si>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</si>
  <si>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</si>
  <si>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</si>
  <si>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</si>
  <si>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</si>
  <si>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</si>
  <si>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</si>
  <si>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</si>
  <si>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</si>
  <si>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</si>
  <si>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</si>
  <si>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</si>
  <si>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</si>
  <si>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</si>
  <si>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</si>
  <si>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</si>
  <si>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</si>
  <si>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</si>
  <si>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</si>
  <si>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</si>
  <si>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</si>
  <si>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</si>
  <si>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</si>
  <si>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</si>
  <si>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</si>
  <si>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</si>
  <si>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</si>
  <si>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</si>
  <si>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</si>
  <si>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</si>
  <si>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</si>
  <si>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</si>
  <si>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</si>
  <si>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</si>
  <si>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</si>
  <si>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</si>
  <si>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</si>
  <si>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</si>
  <si>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</si>
  <si>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</si>
  <si>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</si>
  <si>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</si>
  <si>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</si>
  <si>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Column Name</t>
  </si>
  <si>
    <t>Valid Range</t>
  </si>
  <si>
    <t>Data Type</t>
  </si>
  <si>
    <t>Business Purpose</t>
  </si>
  <si>
    <t>Alert Trigger</t>
  </si>
  <si>
    <t>LLM Description</t>
  </si>
  <si>
    <t>Supply Chain Data Dictionary</t>
  </si>
  <si>
    <t>Text</t>
  </si>
  <si>
    <t>Categorizes products into types for sales and inventory analysis</t>
  </si>
  <si>
    <t>haircare | skincare | cosmetics</t>
  </si>
  <si>
    <t>Flag if value not in: haircare, skincare, cosmetics</t>
  </si>
  <si>
    <t>Use exact lowercase values: haircare, skincare, cosmetics</t>
  </si>
  <si>
    <t>Uniquely identifies each product — acts as primary key</t>
  </si>
  <si>
    <t>SKU0 to SKU(n) — no upper limit</t>
  </si>
  <si>
    <t>Flag if duplicate SKU or format not matching SKU+number</t>
  </si>
  <si>
    <t>Primary key — use for VLOOKUP/XLOOKUP</t>
  </si>
  <si>
    <t>Decimal</t>
  </si>
  <si>
    <t>Unit selling price of each product</t>
  </si>
  <si>
    <t>&gt; 0</t>
  </si>
  <si>
    <t>Flag if Price &lt;= 0</t>
  </si>
  <si>
    <t>Unit price — use with quantity fields to calculate revenue and profit metrics</t>
  </si>
  <si>
    <t>Integer</t>
  </si>
  <si>
    <t>Available quantity at the shop level for immediate sale</t>
  </si>
  <si>
    <t>&gt;= 0</t>
  </si>
  <si>
    <t>Flag if &lt; 10 — adjust based on lead time</t>
  </si>
  <si>
    <t>Use to check current shop-level stock and identify reorder needs</t>
  </si>
  <si>
    <t xml:space="preserve">Number of products sold </t>
  </si>
  <si>
    <t>Total units sold for each SKU</t>
  </si>
  <si>
    <t>Flag if &lt;= 0 or &gt; Availability</t>
  </si>
  <si>
    <t>Use to analyze sales volume and demand patterns per SKU</t>
  </si>
  <si>
    <t>Total revenue earned from sales of each SKU</t>
  </si>
  <si>
    <t>&gt;= 0 and &gt;= Price</t>
  </si>
  <si>
    <t>Flag if Revenue &lt; (Number of products sold * Price)</t>
  </si>
  <si>
    <t>Use to find total earning of business using total revenue for products sold</t>
  </si>
  <si>
    <t>Text/Categorical</t>
  </si>
  <si>
    <t>Identifies customer gender segment to analyze purchasing patterns</t>
  </si>
  <si>
    <t>Male/Female</t>
  </si>
  <si>
    <t>Flag if value not in: Male, Female, Non-binary, Unknown</t>
  </si>
  <si>
    <t>Use to segment sales by customer gender — analyze which demographics prefer which product types</t>
  </si>
  <si>
    <t>Total inventory stored in warehouse — backup stock available for replenishment</t>
  </si>
  <si>
    <t>Use to monitor warehouse inventory levels — identify products needing urgent reorder</t>
  </si>
  <si>
    <t>&gt;= 0 - 100</t>
  </si>
  <si>
    <t>Flag if Stock levels &lt;= 100</t>
  </si>
  <si>
    <t>Number of days to receive reordered stock from supplier</t>
  </si>
  <si>
    <t>1 to 30 days</t>
  </si>
  <si>
    <t>Flag if Lead time &lt;= 0 or &gt; 30</t>
  </si>
  <si>
    <t>Use to plan reorders before stock runs out — combine with Stock levels to calculate reorder timing</t>
  </si>
  <si>
    <t>Number of units ordered per purchase order</t>
  </si>
  <si>
    <t>Flag if Order quantities &lt;= 0</t>
  </si>
  <si>
    <t>Use to compare with Stock levels — trigger reorder alert when stock approaches order quantity threshold</t>
  </si>
  <si>
    <t>2 to 30 days</t>
  </si>
  <si>
    <t>Flag if Lead time &lt;= 0 or &gt; 31</t>
  </si>
  <si>
    <t>Logistics company responsible for delivering orders to customers</t>
  </si>
  <si>
    <t>Carrier A | Carrier B | Carrier C</t>
  </si>
  <si>
    <t>Flag if value not in: Carrier A, Carrier B, Carrier C</t>
  </si>
  <si>
    <t>Use to compare carrier performance — identify fastest and most reliable delivery partner</t>
  </si>
  <si>
    <t>Shipping cost</t>
  </si>
  <si>
    <t>Cost incurred to deliver each order to the customer</t>
  </si>
  <si>
    <t>Flag if Shipping costs &gt; AVERAGE(Shipping costs)</t>
  </si>
  <si>
    <t>Use to identify most cost-efficient carrier — combine with Shipping times for cost vs speed analysis</t>
  </si>
  <si>
    <t>Name of the manufacturer or vendor who produces and supplies the product</t>
  </si>
  <si>
    <t>Supplier 1-5 list</t>
  </si>
  <si>
    <t>Flag if value not in supplier list</t>
  </si>
  <si>
    <t>Use to analyze supplier performance — combine with Defect rates and Lead times for supplier scorecard</t>
  </si>
  <si>
    <t>Geographic location of the supplier or manufacturer</t>
  </si>
  <si>
    <t>Flag if value not in city list</t>
  </si>
  <si>
    <t>Use to analyze supplier proximity — identify nearest suppliers for faster lead times and lower shipping costs</t>
  </si>
  <si>
    <t>Number of days supplier takes to manufacture a batch of products</t>
  </si>
  <si>
    <t>Use with Lead times column to calculate total cycle time — from manufacturing to warehouse restocking</t>
  </si>
  <si>
    <t>Number of units produced by the manufacturer in a single batch</t>
  </si>
  <si>
    <t>Flag if &lt; 50 (low efficiency)</t>
  </si>
  <si>
    <t>Use to assess manufacturer capacity — combine with Lead time to plan reorder quantities</t>
  </si>
  <si>
    <t>Number of days required to manufacture a complete batch of products</t>
  </si>
  <si>
    <t>Flag if Manufacturing lead time &lt;= 0 or &gt; 30</t>
  </si>
  <si>
    <t>Use with Lead time to calculate total restocking cycle — manufacturing days plus delivery days</t>
  </si>
  <si>
    <t>Total cost incurred to manufacture a single batch of products</t>
  </si>
  <si>
    <t>Flag if Manufacturing costs &lt;= 0</t>
  </si>
  <si>
    <t>Use to evaluate production efficiency — compare across suppliers to identify most cost-effective manufacturer</t>
  </si>
  <si>
    <t>Quality inspection outcome indicating whether product meets required standards</t>
  </si>
  <si>
    <t>Flag if unknown value — also flag all Fail and Pending</t>
  </si>
  <si>
    <t>Use to filter quality-approved stock only — exclude Fail and Pending from inventory analysis</t>
  </si>
  <si>
    <t>Proportion of defective units that do not meet quality standards</t>
  </si>
  <si>
    <t>0.0 to 4.9</t>
  </si>
  <si>
    <t>Flag if Defect rates &gt; 1.0</t>
  </si>
  <si>
    <t>Use with Inspection results to assess overall product quality — flag suppliers with consistently high defect rates</t>
  </si>
  <si>
    <t>Method of transport used to deliver products from manufacturer to warehouse or customer</t>
  </si>
  <si>
    <t>Flag if value not in: Road, Sea, Rail, Air</t>
  </si>
  <si>
    <t>Use to compare transport modes — identify most cost-efficient and time-efficient delivery method</t>
  </si>
  <si>
    <t>Specific delivery route taken from manufacturer to warehouse or customer</t>
  </si>
  <si>
    <t>Flag if value not in: Route A, Route B, Route C</t>
  </si>
  <si>
    <t>Use with Transportation modes to identify most efficient route — optimize delivery path for cost and speed</t>
  </si>
  <si>
    <t>Total logistics cost incurred to move products from manufacturer to warehouse</t>
  </si>
  <si>
    <t>Flag if Costs &gt; 500 (outlier)</t>
  </si>
  <si>
    <t>Use with Production volumes to calculate per-unit logistics cost — combine with Price to determine profit margin</t>
  </si>
  <si>
    <t>Supply Chain Raw Data</t>
  </si>
  <si>
    <t>Summary</t>
  </si>
  <si>
    <t>Total Revenue</t>
  </si>
  <si>
    <t>Total unit Sold</t>
  </si>
  <si>
    <t>Average Defeact Rate</t>
  </si>
  <si>
    <t>Average Lead time</t>
  </si>
  <si>
    <t>Low Stock Item</t>
  </si>
  <si>
    <t>Metric</t>
  </si>
  <si>
    <t>STOCK RISK ANALYSIS</t>
  </si>
  <si>
    <t>Status</t>
  </si>
  <si>
    <t>Avg Defect Rate</t>
  </si>
  <si>
    <t>Avg Lead Time</t>
  </si>
  <si>
    <t>Avg Manufacturing Lead Time</t>
  </si>
  <si>
    <t>Avg Manufacturing Cost</t>
  </si>
  <si>
    <t>SUPPLIER QUALITY ANALYSIS</t>
  </si>
  <si>
    <t>Shipping Carrier</t>
  </si>
  <si>
    <t>Avg Shipping Time</t>
  </si>
  <si>
    <t>Avg Shipping Cost</t>
  </si>
  <si>
    <t xml:space="preserve">Shipping Efficiency Analysis </t>
  </si>
  <si>
    <t>REVENUE BY PRODUCT TYPE</t>
  </si>
  <si>
    <t>Product Type</t>
  </si>
  <si>
    <t>Units Sold</t>
  </si>
  <si>
    <t>Avg Price</t>
  </si>
  <si>
    <t>Summary Statistics</t>
  </si>
  <si>
    <t>Supply Chain Performance Dashboard</t>
  </si>
  <si>
    <t>STOCK ALERTS — ITEMS NEEDING REORDER</t>
  </si>
  <si>
    <t>SUPPLIER QUALITY (Best → Worst)</t>
  </si>
  <si>
    <t>SHIPPING EFFICIENCY</t>
  </si>
  <si>
    <t>Project A.1 — Supply Chain Performance Dashboard</t>
  </si>
  <si>
    <t>Section 1 — Business Overview</t>
  </si>
  <si>
    <t>5.Inspection results — kitne batches Fail/Pending hain, konsa supplier/hub se issue aa raha hai?
6.Konsa transportation mode (Road/Air/Sea/Rail) manufacturing se warehouse tak sabse cost-effective hai?</t>
  </si>
  <si>
    <t>Project A.1 — Muzamil Shah | Excel Skills for Business Specialization</t>
  </si>
  <si>
    <t>This dataset represents an online Direct-to-Consumer (D2C) business operating across multiple cities in India. The company manufactures and sells beauty products across three categories: Haircare, Skincare, and Cosmetics.
When an order is placed, raw materials are sourced from suppliers, and products are manufactured in-house. Each batch undergoes quality inspection (Pass/Fail/Pending) before being transported to a central warehouse via Road, Air, Sea, or Rail.
From the warehouse, customer orders are fulfilled and shipped directly to customers via third-party carriers (Carrier A, B, C).</t>
  </si>
  <si>
    <t>2.  PROBLEM STATEMENT — CEO QUESTIONS &amp; ANSWERS (FROM DASHBOARD)</t>
  </si>
  <si>
    <t>Ans: 17 SKUs flagged for reorder (Dashboard → Stock Alerts table)</t>
  </si>
  <si>
    <t>Ans: Skincare — highest revenue ($241,628) and units sold (20,731)</t>
  </si>
  <si>
    <t>Q3.Supplier Quality: "Konsa manufacturer hai jiska defect ratio kam hai, aur konsa zyada?"</t>
  </si>
  <si>
    <t>Ans: Supplier 1 best (1.80% defect rate), Supplier 5 needs improvement (2.67%)</t>
  </si>
  <si>
    <t>Q4.Shipping Efficiency: "Konsa carrier sabse fast aur efficient delivery karta hai?"</t>
  </si>
  <si>
    <t>Ans: Carrier B — fastest (5.3 days avg) and cheapest ($5.51 avg)</t>
  </si>
  <si>
    <t>Q1--Stock Risk: "Kaunse products khatam hone wale hain, jin ko abhi reorder karna chahiye?"</t>
  </si>
  <si>
    <t>Q2--Revenue/Demand: "Mera sabse zyada product konsa sell ho raha hai, jis pe main mazeed    invest karoon?"</t>
  </si>
  <si>
    <t>FUTURE ENHANCEMENTS (Not Yet Built)</t>
  </si>
  <si>
    <t>3.  HOW TO NAVIGATE THIS FILE</t>
  </si>
  <si>
    <t>Raw Data</t>
  </si>
  <si>
    <t>Original dataset (100 SKUs, 24 columns) in table format (Tbl_sales).</t>
  </si>
  <si>
    <t>Data Dictionary</t>
  </si>
  <si>
    <t>Column definitions, business context, and data validation rules — written for both humans and LLMs.</t>
  </si>
  <si>
    <t>Analysis</t>
  </si>
  <si>
    <t>Calculations and formulas (SUMIF, AVERAGEIF, XLOOKUP, FILTER, UNIQUE) that answer the CEO's questions.</t>
  </si>
  <si>
    <t>Dashboard</t>
  </si>
  <si>
    <t>Visual summary with KPIs and key findings for quick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</si>
</sst>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3"/>
      <color theme="1"/>
      <name val="Arial"/>
      <family val="2"/>
    </font>
    <font>
      <b/>
      <sz val="16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0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1"/>
      <name val="Times Roman"/>
    </font>
    <font>
      <b/>
      <sz val="12"/>
      <color rgb="FF000000"/>
      <name val="Times Roman"/>
    </font>
    <font>
      <b/>
      <sz val="12"/>
      <color theme="0"/>
      <name val="Aptos Narrow"/>
      <scheme val="minor"/>
    </font>
    <font>
      <sz val="12"/>
      <color theme="3" tint="0.249977111117893"/>
      <name val="Aptos Narrow"/>
      <scheme val="minor"/>
    </font>
    <font>
      <b/>
      <sz val="12"/>
      <color theme="3" tint="0.249977111117893"/>
      <name val="Aptos Narrow"/>
      <scheme val="minor"/>
    </font>
    <font>
      <sz val="12"/>
      <color theme="9" tint="-0.249977111117893"/>
      <name val="Aptos Narrow"/>
      <family val="2"/>
      <scheme val="minor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  <font>
      <sz val="12"/>
      <color theme="1"/>
      <name val="Times Roman"/>
    </font>
    <font>
      <sz val="12"/>
      <color theme="9" tint="-0.249977111117893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465926084170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3" borderId="0">
      <alignment horizontal="center" vertical="center"/>
    </xf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17" fillId="9" borderId="0" xfId="18"/>
    <xf numFmtId="0" fontId="0" fillId="0" borderId="0" xfId="0" applyAlignment="1">
      <alignment horizontal="centerContinuous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9" fillId="33" borderId="0" xfId="42" applyAlignment="1">
      <alignment vertical="center"/>
    </xf>
    <xf numFmtId="0" fontId="0" fillId="0" borderId="10" xfId="0" applyBorder="1"/>
    <xf numFmtId="2" fontId="0" fillId="0" borderId="10" xfId="0" applyNumberFormat="1" applyBorder="1"/>
    <xf numFmtId="0" fontId="21" fillId="0" borderId="10" xfId="0" applyFont="1" applyBorder="1"/>
    <xf numFmtId="0" fontId="22" fillId="0" borderId="10" xfId="0" applyFont="1" applyBorder="1"/>
    <xf numFmtId="2" fontId="22" fillId="0" borderId="10" xfId="0" applyNumberFormat="1" applyFont="1" applyBorder="1"/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Continuous"/>
    </xf>
    <xf numFmtId="0" fontId="24" fillId="0" borderId="0" xfId="0" applyFont="1" applyAlignment="1">
      <alignment horizontal="centerContinuous" vertical="top"/>
    </xf>
    <xf numFmtId="0" fontId="0" fillId="0" borderId="0" xfId="43" applyNumberFormat="1" applyFont="1" applyAlignment="1">
      <alignment horizontal="centerContinuous" vertical="top" wrapText="1"/>
    </xf>
    <xf numFmtId="2" fontId="0" fillId="0" borderId="0" xfId="43" applyNumberFormat="1" applyFont="1" applyAlignment="1">
      <alignment horizontal="centerContinuous" vertical="top" wrapText="1"/>
    </xf>
    <xf numFmtId="2" fontId="0" fillId="0" borderId="0" xfId="0" applyNumberFormat="1" applyAlignment="1">
      <alignment horizontal="centerContinuous" vertical="top" wrapText="1"/>
    </xf>
    <xf numFmtId="0" fontId="0" fillId="0" borderId="0" xfId="0" applyAlignment="1">
      <alignment horizontal="centerContinuous" vertical="top"/>
    </xf>
    <xf numFmtId="2" fontId="0" fillId="0" borderId="0" xfId="0" applyNumberFormat="1" applyAlignment="1">
      <alignment horizontal="centerContinuous" vertical="top"/>
    </xf>
    <xf numFmtId="0" fontId="25" fillId="0" borderId="0" xfId="0" applyFont="1" applyAlignment="1">
      <alignment horizontal="centerContinuous"/>
    </xf>
    <xf numFmtId="0" fontId="25" fillId="0" borderId="0" xfId="0" applyFont="1" applyAlignment="1">
      <alignment horizontal="centerContinuous" vertical="top" wrapText="1"/>
    </xf>
    <xf numFmtId="0" fontId="26" fillId="0" borderId="0" xfId="0" applyFont="1" applyAlignment="1">
      <alignment horizontal="center" vertical="top"/>
    </xf>
    <xf numFmtId="0" fontId="25" fillId="0" borderId="0" xfId="0" applyFont="1" applyAlignment="1">
      <alignment horizontal="centerContinuous"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horizontal="center" vertical="center"/>
    </xf>
    <xf numFmtId="0" fontId="19" fillId="33" borderId="11" xfId="42" applyBorder="1">
      <alignment horizontal="center" vertical="center"/>
    </xf>
    <xf numFmtId="0" fontId="19" fillId="33" borderId="0" xfId="42">
      <alignment horizontal="center" vertical="center"/>
    </xf>
    <xf numFmtId="0" fontId="19" fillId="33" borderId="0" xfId="42" applyAlignment="1">
      <alignment horizontal="center"/>
    </xf>
    <xf numFmtId="0" fontId="23" fillId="33" borderId="0" xfId="42" applyFont="1" applyAlignment="1">
      <alignment horizontal="center" vertical="top"/>
    </xf>
    <xf numFmtId="0" fontId="31" fillId="38" borderId="0" xfId="0" applyFont="1" applyFill="1" applyAlignment="1">
      <alignment horizontal="left" vertical="center"/>
    </xf>
    <xf numFmtId="0" fontId="32" fillId="39" borderId="1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3" fillId="40" borderId="12" xfId="0" applyFont="1" applyFill="1" applyBorder="1" applyAlignment="1">
      <alignment horizontal="left" vertical="center" wrapText="1" indent="1"/>
    </xf>
    <xf numFmtId="0" fontId="0" fillId="0" borderId="0" xfId="0"/>
    <xf numFmtId="0" fontId="27" fillId="37" borderId="0" xfId="0" applyFont="1" applyFill="1" applyAlignment="1">
      <alignment horizontal="left"/>
    </xf>
    <xf numFmtId="0" fontId="0" fillId="36" borderId="0" xfId="0" applyFill="1" applyAlignment="1">
      <alignment horizontal="left" vertical="center" wrapText="1"/>
    </xf>
    <xf numFmtId="0" fontId="29" fillId="0" borderId="0" xfId="0" applyFont="1" applyAlignment="1">
      <alignment horizontal="left" vertical="top" wrapText="1"/>
    </xf>
    <xf numFmtId="0" fontId="30" fillId="36" borderId="0" xfId="0" applyFont="1" applyFill="1" applyAlignment="1">
      <alignment horizontal="left" vertical="top" wrapText="1"/>
    </xf>
    <xf numFmtId="0" fontId="35" fillId="36" borderId="0" xfId="0" applyFont="1" applyFill="1" applyAlignment="1">
      <alignment horizontal="left" vertical="top" wrapText="1"/>
    </xf>
    <xf numFmtId="0" fontId="27" fillId="34" borderId="0" xfId="0" applyFont="1" applyFill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0" fontId="34" fillId="36" borderId="0" xfId="0" applyFont="1" applyFill="1" applyAlignment="1">
      <alignment horizontal="left" vertical="top" wrapText="1"/>
    </xf>
    <xf numFmtId="0" fontId="27" fillId="34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st_style1" xfId="42" xr:uid="{D940D796-BD5A-EF41-AF98-DBF8790E3819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25399</xdr:rowOff>
    </xdr:from>
    <xdr:to>
      <xdr:col>3</xdr:col>
      <xdr:colOff>931701</xdr:colOff>
      <xdr:row>6</xdr:row>
      <xdr:rowOff>194733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76942FB-4826-A20F-F5DD-47381F476D2C}"/>
            </a:ext>
          </a:extLst>
        </xdr:cNvPr>
        <xdr:cNvSpPr/>
      </xdr:nvSpPr>
      <xdr:spPr>
        <a:xfrm>
          <a:off x="93436" y="478970"/>
          <a:ext cx="3196836" cy="7816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266564</xdr:colOff>
      <xdr:row>3</xdr:row>
      <xdr:rowOff>55711</xdr:rowOff>
    </xdr:from>
    <xdr:to>
      <xdr:col>3</xdr:col>
      <xdr:colOff>602669</xdr:colOff>
      <xdr:row>4</xdr:row>
      <xdr:rowOff>150677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CD078D8-DDD7-A388-3722-F468D11EC4B5}"/>
            </a:ext>
          </a:extLst>
        </xdr:cNvPr>
        <xdr:cNvSpPr txBox="1"/>
      </xdr:nvSpPr>
      <xdr:spPr>
        <a:xfrm>
          <a:off x="352666" y="507745"/>
          <a:ext cx="2596274" cy="288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800" b="1" kern="0" baseline="0">
              <a:solidFill>
                <a:schemeClr val="bg1">
                  <a:lumMod val="95000"/>
                </a:schemeClr>
              </a:solidFill>
            </a:rPr>
            <a:t>Total</a:t>
          </a:r>
          <a:r>
            <a:rPr lang="en-GB" sz="1600" b="1" kern="0" baseline="0">
              <a:solidFill>
                <a:schemeClr val="bg1">
                  <a:lumMod val="95000"/>
                </a:schemeClr>
              </a:solidFill>
            </a:rPr>
            <a:t> Revenue</a:t>
          </a:r>
        </a:p>
      </xdr:txBody>
    </xdr:sp>
    <xdr:clientData/>
  </xdr:twoCellAnchor>
  <xdr:twoCellAnchor>
    <xdr:from>
      <xdr:col>4</xdr:col>
      <xdr:colOff>50801</xdr:colOff>
      <xdr:row>3</xdr:row>
      <xdr:rowOff>25399</xdr:rowOff>
    </xdr:from>
    <xdr:to>
      <xdr:col>5</xdr:col>
      <xdr:colOff>1527681</xdr:colOff>
      <xdr:row>6</xdr:row>
      <xdr:rowOff>194733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7A2C3BE6-3B90-E74E-B566-226200E103DF}"/>
            </a:ext>
          </a:extLst>
        </xdr:cNvPr>
        <xdr:cNvSpPr/>
      </xdr:nvSpPr>
      <xdr:spPr>
        <a:xfrm>
          <a:off x="3390901" y="482599"/>
          <a:ext cx="2937380" cy="77893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263233</xdr:colOff>
      <xdr:row>3</xdr:row>
      <xdr:rowOff>55321</xdr:rowOff>
    </xdr:from>
    <xdr:to>
      <xdr:col>5</xdr:col>
      <xdr:colOff>1219276</xdr:colOff>
      <xdr:row>4</xdr:row>
      <xdr:rowOff>150677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DDD21C-2067-1743-BA13-819B31DABE54}"/>
            </a:ext>
          </a:extLst>
        </xdr:cNvPr>
        <xdr:cNvSpPr txBox="1"/>
      </xdr:nvSpPr>
      <xdr:spPr>
        <a:xfrm>
          <a:off x="3599674" y="507355"/>
          <a:ext cx="2419771" cy="289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1800" b="1" kern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rPr>
            <a:t>Total Units Sold</a:t>
          </a:r>
        </a:p>
      </xdr:txBody>
    </xdr:sp>
    <xdr:clientData/>
  </xdr:twoCellAnchor>
  <xdr:twoCellAnchor>
    <xdr:from>
      <xdr:col>6</xdr:col>
      <xdr:colOff>55217</xdr:colOff>
      <xdr:row>3</xdr:row>
      <xdr:rowOff>25399</xdr:rowOff>
    </xdr:from>
    <xdr:to>
      <xdr:col>9</xdr:col>
      <xdr:colOff>441739</xdr:colOff>
      <xdr:row>6</xdr:row>
      <xdr:rowOff>194733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C0ECCDB-90A2-934F-B86C-4BF4605FF2FD}"/>
            </a:ext>
          </a:extLst>
        </xdr:cNvPr>
        <xdr:cNvSpPr/>
      </xdr:nvSpPr>
      <xdr:spPr>
        <a:xfrm>
          <a:off x="6417917" y="482599"/>
          <a:ext cx="2875722" cy="77893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298654</xdr:colOff>
      <xdr:row>3</xdr:row>
      <xdr:rowOff>55321</xdr:rowOff>
    </xdr:from>
    <xdr:to>
      <xdr:col>9</xdr:col>
      <xdr:colOff>175271</xdr:colOff>
      <xdr:row>4</xdr:row>
      <xdr:rowOff>129151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5881211-16BB-C745-B244-66A4FE0EE325}"/>
            </a:ext>
          </a:extLst>
        </xdr:cNvPr>
        <xdr:cNvSpPr txBox="1"/>
      </xdr:nvSpPr>
      <xdr:spPr>
        <a:xfrm>
          <a:off x="6670179" y="507355"/>
          <a:ext cx="2352041" cy="267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1800" b="1" kern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rPr>
            <a:t>Items to Reorder</a:t>
          </a:r>
        </a:p>
      </xdr:txBody>
    </xdr:sp>
    <xdr:clientData/>
  </xdr:twoCellAnchor>
  <xdr:twoCellAnchor>
    <xdr:from>
      <xdr:col>9</xdr:col>
      <xdr:colOff>533768</xdr:colOff>
      <xdr:row>3</xdr:row>
      <xdr:rowOff>25399</xdr:rowOff>
    </xdr:from>
    <xdr:to>
      <xdr:col>13</xdr:col>
      <xdr:colOff>0</xdr:colOff>
      <xdr:row>6</xdr:row>
      <xdr:rowOff>194733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5C40406-A89E-3246-BE27-9C0419E1FAFF}"/>
            </a:ext>
          </a:extLst>
        </xdr:cNvPr>
        <xdr:cNvSpPr/>
      </xdr:nvSpPr>
      <xdr:spPr>
        <a:xfrm>
          <a:off x="9385668" y="482599"/>
          <a:ext cx="3009532" cy="77893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8040</xdr:colOff>
      <xdr:row>3</xdr:row>
      <xdr:rowOff>50587</xdr:rowOff>
    </xdr:from>
    <xdr:to>
      <xdr:col>12</xdr:col>
      <xdr:colOff>798790</xdr:colOff>
      <xdr:row>4</xdr:row>
      <xdr:rowOff>107627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1E86C0F-6F9A-764A-80AF-1CFEBA0ACE66}"/>
            </a:ext>
          </a:extLst>
        </xdr:cNvPr>
        <xdr:cNvSpPr txBox="1"/>
      </xdr:nvSpPr>
      <xdr:spPr>
        <a:xfrm>
          <a:off x="9672955" y="502621"/>
          <a:ext cx="2426682" cy="250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GB" sz="1800" b="1" kern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rPr>
            <a:t>Avg Defect Rate</a:t>
          </a:r>
        </a:p>
      </xdr:txBody>
    </xdr:sp>
    <xdr:clientData/>
  </xdr:twoCellAnchor>
  <xdr:twoCellAnchor>
    <xdr:from>
      <xdr:col>1</xdr:col>
      <xdr:colOff>558800</xdr:colOff>
      <xdr:row>5</xdr:row>
      <xdr:rowOff>16934</xdr:rowOff>
    </xdr:from>
    <xdr:to>
      <xdr:col>3</xdr:col>
      <xdr:colOff>287866</xdr:colOff>
      <xdr:row>6</xdr:row>
      <xdr:rowOff>135466</xdr:rowOff>
    </xdr:to>
    <xdr:sp macro="" textlink="Analysis!B4">
      <xdr:nvSpPr>
        <xdr:cNvPr id="16" name="TextBox 15">
          <a:extLst>
            <a:ext uri="{FF2B5EF4-FFF2-40B4-BE49-F238E27FC236}">
              <a16:creationId xmlns:a16="http://schemas.microsoft.com/office/drawing/2014/main" id="{28C3416B-FE41-8349-A8BD-3482D8748ADE}"/>
            </a:ext>
          </a:extLst>
        </xdr:cNvPr>
        <xdr:cNvSpPr txBox="1"/>
      </xdr:nvSpPr>
      <xdr:spPr>
        <a:xfrm>
          <a:off x="558800" y="1135292"/>
          <a:ext cx="1397126" cy="327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E32EF79-560B-084B-8E88-D16648D42A82}" type="TxLink">
            <a:rPr lang="en-US" sz="1800" b="1" i="0" u="none" strike="noStrike" kern="0" baseline="0">
              <a:solidFill>
                <a:schemeClr val="bg1"/>
              </a:solidFill>
              <a:latin typeface="Aptos Narrow"/>
            </a:rPr>
            <a:pPr algn="ctr"/>
            <a:t>577604.82</a:t>
          </a:fld>
          <a:endParaRPr lang="en-GB" sz="1800" b="1" kern="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125527</xdr:colOff>
      <xdr:row>4</xdr:row>
      <xdr:rowOff>199519</xdr:rowOff>
    </xdr:from>
    <xdr:to>
      <xdr:col>5</xdr:col>
      <xdr:colOff>1415773</xdr:colOff>
      <xdr:row>6</xdr:row>
      <xdr:rowOff>115588</xdr:rowOff>
    </xdr:to>
    <xdr:sp macro="" textlink="Analysis!B5">
      <xdr:nvSpPr>
        <xdr:cNvPr id="17" name="TextBox 16">
          <a:extLst>
            <a:ext uri="{FF2B5EF4-FFF2-40B4-BE49-F238E27FC236}">
              <a16:creationId xmlns:a16="http://schemas.microsoft.com/office/drawing/2014/main" id="{646D6EB4-40BD-A241-A1C9-2750544529F7}"/>
            </a:ext>
          </a:extLst>
        </xdr:cNvPr>
        <xdr:cNvSpPr txBox="1"/>
      </xdr:nvSpPr>
      <xdr:spPr>
        <a:xfrm>
          <a:off x="3465627" y="859919"/>
          <a:ext cx="2750746" cy="322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50B33CC-5E2F-3247-8AD2-35CF179CDDB7}" type="TxLink">
            <a:rPr lang="en-US" sz="1800" b="1" i="0" u="none" strike="noStrike" kern="0" baseline="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46099.00</a:t>
          </a:fld>
          <a:endParaRPr lang="en-GB" sz="1800" b="1" i="0" u="none" strike="noStrike" kern="0" baseline="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669234</xdr:colOff>
      <xdr:row>4</xdr:row>
      <xdr:rowOff>184058</xdr:rowOff>
    </xdr:from>
    <xdr:to>
      <xdr:col>8</xdr:col>
      <xdr:colOff>379895</xdr:colOff>
      <xdr:row>6</xdr:row>
      <xdr:rowOff>100127</xdr:rowOff>
    </xdr:to>
    <xdr:sp macro="" textlink="Analysis!B8">
      <xdr:nvSpPr>
        <xdr:cNvPr id="18" name="TextBox 17">
          <a:extLst>
            <a:ext uri="{FF2B5EF4-FFF2-40B4-BE49-F238E27FC236}">
              <a16:creationId xmlns:a16="http://schemas.microsoft.com/office/drawing/2014/main" id="{E4EF435C-9177-3C4B-B6CB-0421C3996387}"/>
            </a:ext>
          </a:extLst>
        </xdr:cNvPr>
        <xdr:cNvSpPr txBox="1"/>
      </xdr:nvSpPr>
      <xdr:spPr>
        <a:xfrm>
          <a:off x="7037640" y="846667"/>
          <a:ext cx="1385588" cy="320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2960AB-7C2B-F946-91E4-B0A606D6CE64}" type="TxLink">
            <a:rPr lang="en-US" sz="1800" b="1" i="0" u="none" strike="noStrike" kern="0" baseline="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17.00</a:t>
          </a:fld>
          <a:endParaRPr lang="en-GB" sz="1800" b="1" i="0" u="none" strike="noStrike" kern="0" baseline="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558800</xdr:colOff>
      <xdr:row>5</xdr:row>
      <xdr:rowOff>33867</xdr:rowOff>
    </xdr:from>
    <xdr:to>
      <xdr:col>12</xdr:col>
      <xdr:colOff>287866</xdr:colOff>
      <xdr:row>6</xdr:row>
      <xdr:rowOff>152399</xdr:rowOff>
    </xdr:to>
    <xdr:sp macro="" textlink="Analysis!B6">
      <xdr:nvSpPr>
        <xdr:cNvPr id="19" name="TextBox 18">
          <a:extLst>
            <a:ext uri="{FF2B5EF4-FFF2-40B4-BE49-F238E27FC236}">
              <a16:creationId xmlns:a16="http://schemas.microsoft.com/office/drawing/2014/main" id="{68331AAC-6C7C-8249-8411-810102CD6838}"/>
            </a:ext>
          </a:extLst>
        </xdr:cNvPr>
        <xdr:cNvSpPr txBox="1"/>
      </xdr:nvSpPr>
      <xdr:spPr>
        <a:xfrm>
          <a:off x="8065069" y="1152225"/>
          <a:ext cx="1397125" cy="327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6C71E7A-B504-874B-A94B-B19AE3E5A910}" type="TxLink">
            <a:rPr lang="en-US" sz="1800" b="1" i="0" u="none" strike="noStrike" kern="0" baseline="0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2.28</a:t>
          </a:fld>
          <a:endParaRPr lang="en-GB" sz="1800" b="1" i="0" u="none" strike="noStrike" kern="0" baseline="0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66841</xdr:colOff>
      <xdr:row>27</xdr:row>
      <xdr:rowOff>96252</xdr:rowOff>
    </xdr:from>
    <xdr:to>
      <xdr:col>9</xdr:col>
      <xdr:colOff>409741</xdr:colOff>
      <xdr:row>54</xdr:row>
      <xdr:rowOff>102225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CB11D3-1476-FEB1-AD93-0284967E9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41" y="5510463"/>
          <a:ext cx="7712242" cy="54201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403058</xdr:colOff>
      <xdr:row>27</xdr:row>
      <xdr:rowOff>78161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F829C3-AD8E-1650-494B-C3630F08C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4923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2F4F2-3E19-504B-B0A0-DF07181062E8}" name="Tbl_sales" displayName="Tbl_sales" ref="A2:X102" headerRowCellStyle="Normal">
  <autoFilter ref="A2:X102" xr:uid="{1AB2F4F2-3E19-504B-B0A0-DF07181062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7D92E792-1429-964B-90B2-71A942A7717D}" name="Product type" totalsRowLabel="Total"/>
    <tableColumn id="2" xr3:uid="{627636D2-2235-7641-A234-23B58A0BC70E}" name="SKU"/>
    <tableColumn id="3" xr3:uid="{32E35174-CECF-9948-9304-63F29179064B}" name="Price"/>
    <tableColumn id="4" xr3:uid="{9266A307-3F39-334B-AA6C-7F2E06C94270}" name="Availability"/>
    <tableColumn id="5" xr3:uid="{CB10DD40-02EC-E94A-8AC4-9E99D7702B0C}" name="Number of products sold"/>
    <tableColumn id="6" xr3:uid="{21EF580D-DB77-634A-BA66-BB41B2AE7E82}" name="Revenue generated"/>
    <tableColumn id="7" xr3:uid="{475F18D6-242C-D445-9B4A-4C016DA27520}" name="Customer demographics"/>
    <tableColumn id="8" xr3:uid="{6498A90A-47C6-C643-BBF6-DCEC0CAC5669}" name="Stock levels"/>
    <tableColumn id="9" xr3:uid="{C7A1A602-9575-314B-A931-BD0AA2C0E652}" name="Lead times"/>
    <tableColumn id="10" xr3:uid="{000AC383-6FDA-7041-8D9B-7C47159902D5}" name="Order quantities"/>
    <tableColumn id="11" xr3:uid="{9BC868DE-B435-CC4A-B96E-92FC6E847A37}" name="Shipping times"/>
    <tableColumn id="12" xr3:uid="{096D991A-1B52-FD40-B8A4-381F85BEAC50}" name="Shipping carriers"/>
    <tableColumn id="13" xr3:uid="{BA203A0A-FF67-8E43-8045-4B2BC734C2F1}" name="Shipping costs"/>
    <tableColumn id="14" xr3:uid="{D6179F76-BC30-EC4B-A25F-577A5CFCBA44}" name="Supplier name"/>
    <tableColumn id="15" xr3:uid="{B298D3F4-B40A-6840-ADB4-C28CFB921473}" name="Location"/>
    <tableColumn id="16" xr3:uid="{07B5D5EB-2976-144F-A67A-9DA806939274}" name="Lead time"/>
    <tableColumn id="17" xr3:uid="{FAD0D7E5-6746-2842-A88E-ECC2778EC36C}" name="Production volumes"/>
    <tableColumn id="18" xr3:uid="{0EDC3FB2-8977-374A-8D5D-4BE701DA4B82}" name="Manufacturing lead time"/>
    <tableColumn id="19" xr3:uid="{519A4B5E-5300-614E-8529-BD6BAD83E9C1}" name="Manufacturing costs"/>
    <tableColumn id="20" xr3:uid="{5672765B-D385-7E45-B6DA-A9CED3A7EF42}" name="Inspection results"/>
    <tableColumn id="21" xr3:uid="{5C85C603-791F-6745-B66C-1F040C80C637}" name="Defect rates"/>
    <tableColumn id="22" xr3:uid="{DDF3415F-7938-E046-B436-924B7BAA5DC3}" name="Transportation modes"/>
    <tableColumn id="23" xr3:uid="{76CFA979-F5EE-C144-A0E8-2F19E42DF401}" name="Routes"/>
    <tableColumn id="24" xr3:uid="{FA866D21-6AC6-C646-A53C-53D02EDA2261}" name="Costs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97A6-35DE-C64E-86B4-B3AA25363A68}">
  <dimension ref="A1:X102"/>
  <sheetViews>
    <sheetView topLeftCell="I1" zoomScale="75" zoomScaleNormal="62" workbookViewId="0">
      <selection activeCell="L2" sqref="L2"/>
    </sheetView>
  </sheetViews>
  <sheetFormatPr baseColWidth="10" defaultRowHeight="16"/>
  <cols>
    <col min="1" max="1" width="17.33203125" customWidth="1"/>
    <col min="4" max="4" width="15.5" customWidth="1"/>
    <col min="5" max="5" width="30.5" customWidth="1"/>
    <col min="6" max="6" width="24.5" customWidth="1"/>
    <col min="7" max="7" width="30.83203125" customWidth="1"/>
    <col min="8" max="8" width="16.6640625" customWidth="1"/>
    <col min="9" max="9" width="15.83203125" customWidth="1"/>
    <col min="10" max="10" width="21.33203125" customWidth="1"/>
    <col min="11" max="11" width="19.83203125" customWidth="1"/>
    <col min="12" max="12" width="22" customWidth="1"/>
    <col min="13" max="13" width="19.5" customWidth="1"/>
    <col min="14" max="14" width="19.1640625" customWidth="1"/>
    <col min="15" max="15" width="13.1640625" customWidth="1"/>
    <col min="16" max="16" width="14.5" customWidth="1"/>
    <col min="17" max="17" width="25.33203125" customWidth="1"/>
    <col min="18" max="18" width="30.1640625" customWidth="1"/>
    <col min="19" max="19" width="26.1640625" customWidth="1"/>
    <col min="20" max="20" width="23.33203125" customWidth="1"/>
    <col min="21" max="21" width="17.33203125" customWidth="1"/>
    <col min="22" max="22" width="27.5" customWidth="1"/>
    <col min="23" max="23" width="11.33203125" customWidth="1"/>
  </cols>
  <sheetData>
    <row r="1" spans="1:24" ht="17">
      <c r="A1" s="24" t="s">
        <v>248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>
      <c r="A3" t="s">
        <v>24</v>
      </c>
      <c r="B3" t="s">
        <v>25</v>
      </c>
      <c r="C3">
        <v>69.808005542115694</v>
      </c>
      <c r="D3">
        <v>55</v>
      </c>
      <c r="E3">
        <v>802</v>
      </c>
      <c r="F3">
        <v>8661.9967923923796</v>
      </c>
      <c r="G3" t="s">
        <v>26</v>
      </c>
      <c r="H3">
        <v>58</v>
      </c>
      <c r="I3">
        <v>7</v>
      </c>
      <c r="J3">
        <v>96</v>
      </c>
      <c r="K3">
        <v>4</v>
      </c>
      <c r="L3" t="s">
        <v>27</v>
      </c>
      <c r="M3">
        <v>2.9565721394308002</v>
      </c>
      <c r="N3" t="s">
        <v>28</v>
      </c>
      <c r="O3" t="s">
        <v>29</v>
      </c>
      <c r="P3">
        <v>29</v>
      </c>
      <c r="Q3">
        <v>215</v>
      </c>
      <c r="R3">
        <v>29</v>
      </c>
      <c r="S3">
        <v>46.279879240508301</v>
      </c>
      <c r="T3" t="s">
        <v>30</v>
      </c>
      <c r="U3">
        <v>0.226410360849925</v>
      </c>
      <c r="V3" t="s">
        <v>31</v>
      </c>
      <c r="W3" t="s">
        <v>32</v>
      </c>
      <c r="X3">
        <v>187.75207545920301</v>
      </c>
    </row>
    <row r="4" spans="1:24">
      <c r="A4" t="s">
        <v>33</v>
      </c>
      <c r="B4" t="s">
        <v>34</v>
      </c>
      <c r="C4">
        <v>14.8435232750843</v>
      </c>
      <c r="D4">
        <v>95</v>
      </c>
      <c r="E4">
        <v>736</v>
      </c>
      <c r="F4">
        <v>7460.9000654458396</v>
      </c>
      <c r="G4" t="s">
        <v>35</v>
      </c>
      <c r="H4">
        <v>53</v>
      </c>
      <c r="I4">
        <v>30</v>
      </c>
      <c r="J4">
        <v>37</v>
      </c>
      <c r="K4">
        <v>2</v>
      </c>
      <c r="L4" t="s">
        <v>36</v>
      </c>
      <c r="M4">
        <v>9.7165747714313095</v>
      </c>
      <c r="N4" t="s">
        <v>28</v>
      </c>
      <c r="O4" t="s">
        <v>29</v>
      </c>
      <c r="P4">
        <v>23</v>
      </c>
      <c r="Q4">
        <v>517</v>
      </c>
      <c r="R4">
        <v>30</v>
      </c>
      <c r="S4">
        <v>33.616768953730002</v>
      </c>
      <c r="T4" t="s">
        <v>30</v>
      </c>
      <c r="U4">
        <v>4.8540680263886999</v>
      </c>
      <c r="V4" t="s">
        <v>31</v>
      </c>
      <c r="W4" t="s">
        <v>32</v>
      </c>
      <c r="X4">
        <v>503.06557914966902</v>
      </c>
    </row>
    <row r="5" spans="1:24">
      <c r="A5" t="s">
        <v>24</v>
      </c>
      <c r="B5" t="s">
        <v>37</v>
      </c>
      <c r="C5">
        <v>11.319683293090501</v>
      </c>
      <c r="D5">
        <v>34</v>
      </c>
      <c r="E5">
        <v>8</v>
      </c>
      <c r="F5">
        <v>9577.7496258687297</v>
      </c>
      <c r="G5" t="s">
        <v>38</v>
      </c>
      <c r="H5">
        <v>1</v>
      </c>
      <c r="I5">
        <v>10</v>
      </c>
      <c r="J5">
        <v>88</v>
      </c>
      <c r="K5">
        <v>2</v>
      </c>
      <c r="L5" t="s">
        <v>27</v>
      </c>
      <c r="M5">
        <v>8.0544792617321495</v>
      </c>
      <c r="N5" t="s">
        <v>39</v>
      </c>
      <c r="O5" t="s">
        <v>29</v>
      </c>
      <c r="P5">
        <v>12</v>
      </c>
      <c r="Q5">
        <v>971</v>
      </c>
      <c r="R5">
        <v>27</v>
      </c>
      <c r="S5">
        <v>30.6880193482842</v>
      </c>
      <c r="T5" t="s">
        <v>30</v>
      </c>
      <c r="U5">
        <v>4.5805926191992201</v>
      </c>
      <c r="V5" t="s">
        <v>40</v>
      </c>
      <c r="W5" t="s">
        <v>41</v>
      </c>
      <c r="X5">
        <v>141.920281771519</v>
      </c>
    </row>
    <row r="6" spans="1:24">
      <c r="A6" t="s">
        <v>33</v>
      </c>
      <c r="B6" t="s">
        <v>42</v>
      </c>
      <c r="C6">
        <v>61.1633430164377</v>
      </c>
      <c r="D6">
        <v>68</v>
      </c>
      <c r="E6">
        <v>83</v>
      </c>
      <c r="F6">
        <v>7766.8364256852301</v>
      </c>
      <c r="G6" t="s">
        <v>26</v>
      </c>
      <c r="H6">
        <v>23</v>
      </c>
      <c r="I6">
        <v>13</v>
      </c>
      <c r="J6">
        <v>59</v>
      </c>
      <c r="K6">
        <v>6</v>
      </c>
      <c r="L6" t="s">
        <v>43</v>
      </c>
      <c r="M6">
        <v>1.7295685635434199</v>
      </c>
      <c r="N6" t="s">
        <v>44</v>
      </c>
      <c r="O6" t="s">
        <v>45</v>
      </c>
      <c r="P6">
        <v>24</v>
      </c>
      <c r="Q6">
        <v>937</v>
      </c>
      <c r="R6">
        <v>18</v>
      </c>
      <c r="S6">
        <v>35.624741397125</v>
      </c>
      <c r="T6" t="s">
        <v>46</v>
      </c>
      <c r="U6">
        <v>4.7466486206477496</v>
      </c>
      <c r="V6" t="s">
        <v>47</v>
      </c>
      <c r="W6" t="s">
        <v>48</v>
      </c>
      <c r="X6">
        <v>254.776159219286</v>
      </c>
    </row>
    <row r="7" spans="1:24">
      <c r="A7" t="s">
        <v>33</v>
      </c>
      <c r="B7" t="s">
        <v>49</v>
      </c>
      <c r="C7">
        <v>4.8054960363458896</v>
      </c>
      <c r="D7">
        <v>26</v>
      </c>
      <c r="E7">
        <v>871</v>
      </c>
      <c r="F7">
        <v>2686.50515156744</v>
      </c>
      <c r="G7" t="s">
        <v>26</v>
      </c>
      <c r="H7">
        <v>5</v>
      </c>
      <c r="I7">
        <v>3</v>
      </c>
      <c r="J7">
        <v>56</v>
      </c>
      <c r="K7">
        <v>8</v>
      </c>
      <c r="L7" t="s">
        <v>36</v>
      </c>
      <c r="M7">
        <v>3.8905479158706702</v>
      </c>
      <c r="N7" t="s">
        <v>39</v>
      </c>
      <c r="O7" t="s">
        <v>50</v>
      </c>
      <c r="P7">
        <v>5</v>
      </c>
      <c r="Q7">
        <v>414</v>
      </c>
      <c r="R7">
        <v>3</v>
      </c>
      <c r="S7">
        <v>92.065160598712794</v>
      </c>
      <c r="T7" t="s">
        <v>46</v>
      </c>
      <c r="U7">
        <v>3.1455795228330001</v>
      </c>
      <c r="V7" t="s">
        <v>40</v>
      </c>
      <c r="W7" t="s">
        <v>48</v>
      </c>
      <c r="X7">
        <v>923.44063171192204</v>
      </c>
    </row>
    <row r="8" spans="1:24">
      <c r="A8" t="s">
        <v>24</v>
      </c>
      <c r="B8" t="s">
        <v>51</v>
      </c>
      <c r="C8">
        <v>1.6999760138659299</v>
      </c>
      <c r="D8">
        <v>87</v>
      </c>
      <c r="E8">
        <v>147</v>
      </c>
      <c r="F8">
        <v>2828.3487459757498</v>
      </c>
      <c r="G8" t="s">
        <v>26</v>
      </c>
      <c r="H8">
        <v>90</v>
      </c>
      <c r="I8">
        <v>27</v>
      </c>
      <c r="J8">
        <v>66</v>
      </c>
      <c r="K8">
        <v>3</v>
      </c>
      <c r="L8" t="s">
        <v>27</v>
      </c>
      <c r="M8">
        <v>4.4440988643822896</v>
      </c>
      <c r="N8" t="s">
        <v>52</v>
      </c>
      <c r="O8" t="s">
        <v>53</v>
      </c>
      <c r="P8">
        <v>10</v>
      </c>
      <c r="Q8">
        <v>104</v>
      </c>
      <c r="R8">
        <v>17</v>
      </c>
      <c r="S8">
        <v>56.766475557431797</v>
      </c>
      <c r="T8" t="s">
        <v>46</v>
      </c>
      <c r="U8">
        <v>2.7791935115711599</v>
      </c>
      <c r="V8" t="s">
        <v>31</v>
      </c>
      <c r="W8" t="s">
        <v>48</v>
      </c>
      <c r="X8">
        <v>235.461236735537</v>
      </c>
    </row>
    <row r="9" spans="1:24">
      <c r="A9" t="s">
        <v>33</v>
      </c>
      <c r="B9" t="s">
        <v>54</v>
      </c>
      <c r="C9">
        <v>4.0783328631079403</v>
      </c>
      <c r="D9">
        <v>48</v>
      </c>
      <c r="E9">
        <v>65</v>
      </c>
      <c r="F9">
        <v>7823.4765595317303</v>
      </c>
      <c r="G9" t="s">
        <v>55</v>
      </c>
      <c r="H9">
        <v>11</v>
      </c>
      <c r="I9">
        <v>15</v>
      </c>
      <c r="J9">
        <v>58</v>
      </c>
      <c r="K9">
        <v>8</v>
      </c>
      <c r="L9" t="s">
        <v>43</v>
      </c>
      <c r="M9">
        <v>3.8807633029519999</v>
      </c>
      <c r="N9" t="s">
        <v>28</v>
      </c>
      <c r="O9" t="s">
        <v>45</v>
      </c>
      <c r="P9">
        <v>14</v>
      </c>
      <c r="Q9">
        <v>314</v>
      </c>
      <c r="R9">
        <v>24</v>
      </c>
      <c r="S9">
        <v>1.0850685695870601</v>
      </c>
      <c r="T9" t="s">
        <v>30</v>
      </c>
      <c r="U9">
        <v>1.0009106193041299</v>
      </c>
      <c r="V9" t="s">
        <v>56</v>
      </c>
      <c r="W9" t="s">
        <v>48</v>
      </c>
      <c r="X9">
        <v>134.36909686103101</v>
      </c>
    </row>
    <row r="10" spans="1:24">
      <c r="A10" t="s">
        <v>57</v>
      </c>
      <c r="B10" t="s">
        <v>58</v>
      </c>
      <c r="C10">
        <v>42.958384382459997</v>
      </c>
      <c r="D10">
        <v>59</v>
      </c>
      <c r="E10">
        <v>426</v>
      </c>
      <c r="F10">
        <v>8496.1038130898305</v>
      </c>
      <c r="G10" t="s">
        <v>35</v>
      </c>
      <c r="H10">
        <v>93</v>
      </c>
      <c r="I10">
        <v>17</v>
      </c>
      <c r="J10">
        <v>11</v>
      </c>
      <c r="K10">
        <v>1</v>
      </c>
      <c r="L10" t="s">
        <v>27</v>
      </c>
      <c r="M10">
        <v>2.3483387844177801</v>
      </c>
      <c r="N10" t="s">
        <v>52</v>
      </c>
      <c r="O10" t="s">
        <v>53</v>
      </c>
      <c r="P10">
        <v>22</v>
      </c>
      <c r="Q10">
        <v>564</v>
      </c>
      <c r="R10">
        <v>1</v>
      </c>
      <c r="S10">
        <v>99.466108603599096</v>
      </c>
      <c r="T10" t="s">
        <v>46</v>
      </c>
      <c r="U10">
        <v>0.39817718685065001</v>
      </c>
      <c r="V10" t="s">
        <v>31</v>
      </c>
      <c r="W10" t="s">
        <v>41</v>
      </c>
      <c r="X10">
        <v>802.05631181755803</v>
      </c>
    </row>
    <row r="11" spans="1:24">
      <c r="A11" t="s">
        <v>57</v>
      </c>
      <c r="B11" t="s">
        <v>59</v>
      </c>
      <c r="C11">
        <v>68.717596748527299</v>
      </c>
      <c r="D11">
        <v>78</v>
      </c>
      <c r="E11">
        <v>150</v>
      </c>
      <c r="F11">
        <v>7517.3632106311197</v>
      </c>
      <c r="G11" t="s">
        <v>35</v>
      </c>
      <c r="H11">
        <v>5</v>
      </c>
      <c r="I11">
        <v>10</v>
      </c>
      <c r="J11">
        <v>15</v>
      </c>
      <c r="K11">
        <v>7</v>
      </c>
      <c r="L11" t="s">
        <v>43</v>
      </c>
      <c r="M11">
        <v>3.4047338570830199</v>
      </c>
      <c r="N11" t="s">
        <v>52</v>
      </c>
      <c r="O11" t="s">
        <v>29</v>
      </c>
      <c r="P11">
        <v>13</v>
      </c>
      <c r="Q11">
        <v>769</v>
      </c>
      <c r="R11">
        <v>8</v>
      </c>
      <c r="S11">
        <v>11.423027139565599</v>
      </c>
      <c r="T11" t="s">
        <v>30</v>
      </c>
      <c r="U11">
        <v>2.7098626911099601</v>
      </c>
      <c r="V11" t="s">
        <v>56</v>
      </c>
      <c r="W11" t="s">
        <v>32</v>
      </c>
      <c r="X11">
        <v>505.55713422546398</v>
      </c>
    </row>
    <row r="12" spans="1:24">
      <c r="A12" t="s">
        <v>33</v>
      </c>
      <c r="B12" t="s">
        <v>60</v>
      </c>
      <c r="C12">
        <v>64.0157329412785</v>
      </c>
      <c r="D12">
        <v>35</v>
      </c>
      <c r="E12">
        <v>980</v>
      </c>
      <c r="F12">
        <v>4971.1459875855498</v>
      </c>
      <c r="G12" t="s">
        <v>38</v>
      </c>
      <c r="H12">
        <v>14</v>
      </c>
      <c r="I12">
        <v>27</v>
      </c>
      <c r="J12">
        <v>83</v>
      </c>
      <c r="K12">
        <v>1</v>
      </c>
      <c r="L12" t="s">
        <v>36</v>
      </c>
      <c r="M12">
        <v>7.1666452910482104</v>
      </c>
      <c r="N12" t="s">
        <v>61</v>
      </c>
      <c r="O12" t="s">
        <v>62</v>
      </c>
      <c r="P12">
        <v>29</v>
      </c>
      <c r="Q12">
        <v>963</v>
      </c>
      <c r="R12">
        <v>23</v>
      </c>
      <c r="S12">
        <v>47.957601634951502</v>
      </c>
      <c r="T12" t="s">
        <v>30</v>
      </c>
      <c r="U12">
        <v>3.8446144787675798</v>
      </c>
      <c r="V12" t="s">
        <v>47</v>
      </c>
      <c r="W12" t="s">
        <v>32</v>
      </c>
      <c r="X12">
        <v>995.92946149864099</v>
      </c>
    </row>
    <row r="13" spans="1:24">
      <c r="A13" t="s">
        <v>33</v>
      </c>
      <c r="B13" t="s">
        <v>63</v>
      </c>
      <c r="C13">
        <v>15.707795681912099</v>
      </c>
      <c r="D13">
        <v>11</v>
      </c>
      <c r="E13">
        <v>996</v>
      </c>
      <c r="F13">
        <v>2330.9658020919401</v>
      </c>
      <c r="G13" t="s">
        <v>26</v>
      </c>
      <c r="H13">
        <v>51</v>
      </c>
      <c r="I13">
        <v>13</v>
      </c>
      <c r="J13">
        <v>80</v>
      </c>
      <c r="K13">
        <v>2</v>
      </c>
      <c r="L13" t="s">
        <v>43</v>
      </c>
      <c r="M13">
        <v>8.6732112112786108</v>
      </c>
      <c r="N13" t="s">
        <v>44</v>
      </c>
      <c r="O13" t="s">
        <v>45</v>
      </c>
      <c r="P13">
        <v>18</v>
      </c>
      <c r="Q13">
        <v>830</v>
      </c>
      <c r="R13">
        <v>5</v>
      </c>
      <c r="S13">
        <v>96.527352785310896</v>
      </c>
      <c r="T13" t="s">
        <v>64</v>
      </c>
      <c r="U13">
        <v>1.72731392835594</v>
      </c>
      <c r="V13" t="s">
        <v>31</v>
      </c>
      <c r="W13" t="s">
        <v>32</v>
      </c>
      <c r="X13">
        <v>806.10317770292295</v>
      </c>
    </row>
    <row r="14" spans="1:24">
      <c r="A14" t="s">
        <v>33</v>
      </c>
      <c r="B14" t="s">
        <v>65</v>
      </c>
      <c r="C14">
        <v>90.635459982288594</v>
      </c>
      <c r="D14">
        <v>95</v>
      </c>
      <c r="E14">
        <v>960</v>
      </c>
      <c r="F14">
        <v>6099.9441155814502</v>
      </c>
      <c r="G14" t="s">
        <v>35</v>
      </c>
      <c r="H14">
        <v>46</v>
      </c>
      <c r="I14">
        <v>23</v>
      </c>
      <c r="J14">
        <v>60</v>
      </c>
      <c r="K14">
        <v>1</v>
      </c>
      <c r="L14" t="s">
        <v>36</v>
      </c>
      <c r="M14">
        <v>4.5239431243166601</v>
      </c>
      <c r="N14" t="s">
        <v>61</v>
      </c>
      <c r="O14" t="s">
        <v>45</v>
      </c>
      <c r="P14">
        <v>28</v>
      </c>
      <c r="Q14">
        <v>362</v>
      </c>
      <c r="R14">
        <v>11</v>
      </c>
      <c r="S14">
        <v>27.5923630866636</v>
      </c>
      <c r="T14" t="s">
        <v>30</v>
      </c>
      <c r="U14">
        <v>2.1169821372994301E-2</v>
      </c>
      <c r="V14" t="s">
        <v>40</v>
      </c>
      <c r="W14" t="s">
        <v>48</v>
      </c>
      <c r="X14">
        <v>126.72303340940699</v>
      </c>
    </row>
    <row r="15" spans="1:24">
      <c r="A15" t="s">
        <v>24</v>
      </c>
      <c r="B15" t="s">
        <v>66</v>
      </c>
      <c r="C15">
        <v>71.213389075359999</v>
      </c>
      <c r="D15">
        <v>41</v>
      </c>
      <c r="E15">
        <v>336</v>
      </c>
      <c r="F15">
        <v>2873.74144602144</v>
      </c>
      <c r="G15" t="s">
        <v>38</v>
      </c>
      <c r="H15">
        <v>100</v>
      </c>
      <c r="I15">
        <v>30</v>
      </c>
      <c r="J15">
        <v>85</v>
      </c>
      <c r="K15">
        <v>4</v>
      </c>
      <c r="L15" t="s">
        <v>36</v>
      </c>
      <c r="M15">
        <v>1.32527401018452</v>
      </c>
      <c r="N15" t="s">
        <v>52</v>
      </c>
      <c r="O15" t="s">
        <v>45</v>
      </c>
      <c r="P15">
        <v>3</v>
      </c>
      <c r="Q15">
        <v>563</v>
      </c>
      <c r="R15">
        <v>3</v>
      </c>
      <c r="S15">
        <v>32.321286213424003</v>
      </c>
      <c r="T15" t="s">
        <v>46</v>
      </c>
      <c r="U15">
        <v>2.1612537475559099</v>
      </c>
      <c r="V15" t="s">
        <v>31</v>
      </c>
      <c r="W15" t="s">
        <v>32</v>
      </c>
      <c r="X15">
        <v>402.96878907376998</v>
      </c>
    </row>
    <row r="16" spans="1:24">
      <c r="A16" t="s">
        <v>33</v>
      </c>
      <c r="B16" t="s">
        <v>67</v>
      </c>
      <c r="C16">
        <v>16.160393317379899</v>
      </c>
      <c r="D16">
        <v>5</v>
      </c>
      <c r="E16">
        <v>249</v>
      </c>
      <c r="F16">
        <v>4052.7384162378598</v>
      </c>
      <c r="G16" t="s">
        <v>55</v>
      </c>
      <c r="H16">
        <v>80</v>
      </c>
      <c r="I16">
        <v>8</v>
      </c>
      <c r="J16">
        <v>48</v>
      </c>
      <c r="K16">
        <v>9</v>
      </c>
      <c r="L16" t="s">
        <v>36</v>
      </c>
      <c r="M16">
        <v>9.5372830611083295</v>
      </c>
      <c r="N16" t="s">
        <v>44</v>
      </c>
      <c r="O16" t="s">
        <v>53</v>
      </c>
      <c r="P16">
        <v>23</v>
      </c>
      <c r="Q16">
        <v>173</v>
      </c>
      <c r="R16">
        <v>10</v>
      </c>
      <c r="S16">
        <v>97.829050110173199</v>
      </c>
      <c r="T16" t="s">
        <v>30</v>
      </c>
      <c r="U16">
        <v>1.63107423007153</v>
      </c>
      <c r="V16" t="s">
        <v>31</v>
      </c>
      <c r="W16" t="s">
        <v>32</v>
      </c>
      <c r="X16">
        <v>547.24100516096803</v>
      </c>
    </row>
    <row r="17" spans="1:24">
      <c r="A17" t="s">
        <v>33</v>
      </c>
      <c r="B17" t="s">
        <v>68</v>
      </c>
      <c r="C17">
        <v>99.171328638624104</v>
      </c>
      <c r="D17">
        <v>26</v>
      </c>
      <c r="E17">
        <v>562</v>
      </c>
      <c r="F17">
        <v>8653.5709264697998</v>
      </c>
      <c r="G17" t="s">
        <v>26</v>
      </c>
      <c r="H17">
        <v>54</v>
      </c>
      <c r="I17">
        <v>29</v>
      </c>
      <c r="J17">
        <v>78</v>
      </c>
      <c r="K17">
        <v>5</v>
      </c>
      <c r="L17" t="s">
        <v>27</v>
      </c>
      <c r="M17">
        <v>2.0397701894493299</v>
      </c>
      <c r="N17" t="s">
        <v>39</v>
      </c>
      <c r="O17" t="s">
        <v>45</v>
      </c>
      <c r="P17">
        <v>25</v>
      </c>
      <c r="Q17">
        <v>558</v>
      </c>
      <c r="R17">
        <v>14</v>
      </c>
      <c r="S17">
        <v>5.7914366298629796</v>
      </c>
      <c r="T17" t="s">
        <v>30</v>
      </c>
      <c r="U17">
        <v>0.100682851565093</v>
      </c>
      <c r="V17" t="s">
        <v>40</v>
      </c>
      <c r="W17" t="s">
        <v>32</v>
      </c>
      <c r="X17">
        <v>929.23528996088896</v>
      </c>
    </row>
    <row r="18" spans="1:24">
      <c r="A18" t="s">
        <v>33</v>
      </c>
      <c r="B18" t="s">
        <v>69</v>
      </c>
      <c r="C18">
        <v>36.989244928626903</v>
      </c>
      <c r="D18">
        <v>94</v>
      </c>
      <c r="E18">
        <v>469</v>
      </c>
      <c r="F18">
        <v>5442.0867853976697</v>
      </c>
      <c r="G18" t="s">
        <v>26</v>
      </c>
      <c r="H18">
        <v>9</v>
      </c>
      <c r="I18">
        <v>8</v>
      </c>
      <c r="J18">
        <v>69</v>
      </c>
      <c r="K18">
        <v>7</v>
      </c>
      <c r="L18" t="s">
        <v>27</v>
      </c>
      <c r="M18">
        <v>2.4220397232752</v>
      </c>
      <c r="N18" t="s">
        <v>39</v>
      </c>
      <c r="O18" t="s">
        <v>53</v>
      </c>
      <c r="P18">
        <v>14</v>
      </c>
      <c r="Q18">
        <v>580</v>
      </c>
      <c r="R18">
        <v>7</v>
      </c>
      <c r="S18">
        <v>97.121281751474299</v>
      </c>
      <c r="T18" t="s">
        <v>64</v>
      </c>
      <c r="U18">
        <v>2.2644057611985402</v>
      </c>
      <c r="V18" t="s">
        <v>56</v>
      </c>
      <c r="W18" t="s">
        <v>32</v>
      </c>
      <c r="X18">
        <v>127.861800001625</v>
      </c>
    </row>
    <row r="19" spans="1:24">
      <c r="A19" t="s">
        <v>33</v>
      </c>
      <c r="B19" t="s">
        <v>70</v>
      </c>
      <c r="C19">
        <v>7.5471721097912701</v>
      </c>
      <c r="D19">
        <v>74</v>
      </c>
      <c r="E19">
        <v>280</v>
      </c>
      <c r="F19">
        <v>6453.7979681762799</v>
      </c>
      <c r="G19" t="s">
        <v>35</v>
      </c>
      <c r="H19">
        <v>2</v>
      </c>
      <c r="I19">
        <v>5</v>
      </c>
      <c r="J19">
        <v>78</v>
      </c>
      <c r="K19">
        <v>1</v>
      </c>
      <c r="L19" t="s">
        <v>27</v>
      </c>
      <c r="M19">
        <v>4.1913245857054999</v>
      </c>
      <c r="N19" t="s">
        <v>39</v>
      </c>
      <c r="O19" t="s">
        <v>53</v>
      </c>
      <c r="P19">
        <v>3</v>
      </c>
      <c r="Q19">
        <v>399</v>
      </c>
      <c r="R19">
        <v>21</v>
      </c>
      <c r="S19">
        <v>77.106342497849994</v>
      </c>
      <c r="T19" t="s">
        <v>64</v>
      </c>
      <c r="U19">
        <v>1.01256308925804</v>
      </c>
      <c r="V19" t="s">
        <v>40</v>
      </c>
      <c r="W19" t="s">
        <v>48</v>
      </c>
      <c r="X19">
        <v>865.52577977123997</v>
      </c>
    </row>
    <row r="20" spans="1:24">
      <c r="A20" t="s">
        <v>57</v>
      </c>
      <c r="B20" t="s">
        <v>71</v>
      </c>
      <c r="C20">
        <v>81.462534369237005</v>
      </c>
      <c r="D20">
        <v>82</v>
      </c>
      <c r="E20">
        <v>126</v>
      </c>
      <c r="F20">
        <v>2629.39643484526</v>
      </c>
      <c r="G20" t="s">
        <v>35</v>
      </c>
      <c r="H20">
        <v>45</v>
      </c>
      <c r="I20">
        <v>17</v>
      </c>
      <c r="J20">
        <v>85</v>
      </c>
      <c r="K20">
        <v>9</v>
      </c>
      <c r="L20" t="s">
        <v>43</v>
      </c>
      <c r="M20">
        <v>3.5854189582323399</v>
      </c>
      <c r="N20" t="s">
        <v>39</v>
      </c>
      <c r="O20" t="s">
        <v>62</v>
      </c>
      <c r="P20">
        <v>7</v>
      </c>
      <c r="Q20">
        <v>453</v>
      </c>
      <c r="R20">
        <v>16</v>
      </c>
      <c r="S20">
        <v>47.679680368355299</v>
      </c>
      <c r="T20" t="s">
        <v>46</v>
      </c>
      <c r="U20">
        <v>0.102020754918176</v>
      </c>
      <c r="V20" t="s">
        <v>40</v>
      </c>
      <c r="W20" t="s">
        <v>41</v>
      </c>
      <c r="X20">
        <v>670.93439079241</v>
      </c>
    </row>
    <row r="21" spans="1:24">
      <c r="A21" t="s">
        <v>24</v>
      </c>
      <c r="B21" t="s">
        <v>72</v>
      </c>
      <c r="C21">
        <v>36.4436277704609</v>
      </c>
      <c r="D21">
        <v>23</v>
      </c>
      <c r="E21">
        <v>620</v>
      </c>
      <c r="F21">
        <v>9364.6735050761708</v>
      </c>
      <c r="G21" t="s">
        <v>38</v>
      </c>
      <c r="H21">
        <v>10</v>
      </c>
      <c r="I21">
        <v>10</v>
      </c>
      <c r="J21">
        <v>46</v>
      </c>
      <c r="K21">
        <v>8</v>
      </c>
      <c r="L21" t="s">
        <v>43</v>
      </c>
      <c r="M21">
        <v>4.3392247141107001</v>
      </c>
      <c r="N21" t="s">
        <v>61</v>
      </c>
      <c r="O21" t="s">
        <v>45</v>
      </c>
      <c r="P21">
        <v>18</v>
      </c>
      <c r="Q21">
        <v>374</v>
      </c>
      <c r="R21">
        <v>17</v>
      </c>
      <c r="S21">
        <v>27.107980854843898</v>
      </c>
      <c r="T21" t="s">
        <v>30</v>
      </c>
      <c r="U21">
        <v>2.2319391107292601</v>
      </c>
      <c r="V21" t="s">
        <v>56</v>
      </c>
      <c r="W21" t="s">
        <v>48</v>
      </c>
      <c r="X21">
        <v>593.48025872065102</v>
      </c>
    </row>
    <row r="22" spans="1:24">
      <c r="A22" t="s">
        <v>33</v>
      </c>
      <c r="B22" t="s">
        <v>73</v>
      </c>
      <c r="C22">
        <v>51.123870087964697</v>
      </c>
      <c r="D22">
        <v>100</v>
      </c>
      <c r="E22">
        <v>187</v>
      </c>
      <c r="F22">
        <v>2553.4955849912099</v>
      </c>
      <c r="G22" t="s">
        <v>38</v>
      </c>
      <c r="H22">
        <v>48</v>
      </c>
      <c r="I22">
        <v>11</v>
      </c>
      <c r="J22">
        <v>94</v>
      </c>
      <c r="K22">
        <v>3</v>
      </c>
      <c r="L22" t="s">
        <v>36</v>
      </c>
      <c r="M22">
        <v>4.7426358828418698</v>
      </c>
      <c r="N22" t="s">
        <v>52</v>
      </c>
      <c r="O22" t="s">
        <v>62</v>
      </c>
      <c r="P22">
        <v>20</v>
      </c>
      <c r="Q22">
        <v>694</v>
      </c>
      <c r="R22">
        <v>16</v>
      </c>
      <c r="S22">
        <v>82.373320587990193</v>
      </c>
      <c r="T22" t="s">
        <v>46</v>
      </c>
      <c r="U22">
        <v>3.64645086541702</v>
      </c>
      <c r="V22" t="s">
        <v>31</v>
      </c>
      <c r="W22" t="s">
        <v>41</v>
      </c>
      <c r="X22">
        <v>477.30763109090299</v>
      </c>
    </row>
    <row r="23" spans="1:24">
      <c r="A23" t="s">
        <v>33</v>
      </c>
      <c r="B23" t="s">
        <v>74</v>
      </c>
      <c r="C23">
        <v>96.341072439963298</v>
      </c>
      <c r="D23">
        <v>22</v>
      </c>
      <c r="E23">
        <v>320</v>
      </c>
      <c r="F23">
        <v>8128.0276968511898</v>
      </c>
      <c r="G23" t="s">
        <v>38</v>
      </c>
      <c r="H23">
        <v>27</v>
      </c>
      <c r="I23">
        <v>12</v>
      </c>
      <c r="J23">
        <v>68</v>
      </c>
      <c r="K23">
        <v>6</v>
      </c>
      <c r="L23" t="s">
        <v>36</v>
      </c>
      <c r="M23">
        <v>8.8783346509268402</v>
      </c>
      <c r="N23" t="s">
        <v>39</v>
      </c>
      <c r="O23" t="s">
        <v>62</v>
      </c>
      <c r="P23">
        <v>29</v>
      </c>
      <c r="Q23">
        <v>309</v>
      </c>
      <c r="R23">
        <v>6</v>
      </c>
      <c r="S23">
        <v>65.686259608488598</v>
      </c>
      <c r="T23" t="s">
        <v>64</v>
      </c>
      <c r="U23">
        <v>4.2314165735345304</v>
      </c>
      <c r="V23" t="s">
        <v>40</v>
      </c>
      <c r="W23" t="s">
        <v>32</v>
      </c>
      <c r="X23">
        <v>493.871215316205</v>
      </c>
    </row>
    <row r="24" spans="1:24">
      <c r="A24" t="s">
        <v>57</v>
      </c>
      <c r="B24" t="s">
        <v>75</v>
      </c>
      <c r="C24">
        <v>84.893868984950799</v>
      </c>
      <c r="D24">
        <v>60</v>
      </c>
      <c r="E24">
        <v>601</v>
      </c>
      <c r="F24">
        <v>7087.0526963574302</v>
      </c>
      <c r="G24" t="s">
        <v>38</v>
      </c>
      <c r="H24">
        <v>69</v>
      </c>
      <c r="I24">
        <v>25</v>
      </c>
      <c r="J24">
        <v>7</v>
      </c>
      <c r="K24">
        <v>6</v>
      </c>
      <c r="L24" t="s">
        <v>27</v>
      </c>
      <c r="M24">
        <v>6.0378837692182898</v>
      </c>
      <c r="N24" t="s">
        <v>44</v>
      </c>
      <c r="O24" t="s">
        <v>62</v>
      </c>
      <c r="P24">
        <v>19</v>
      </c>
      <c r="Q24">
        <v>791</v>
      </c>
      <c r="R24">
        <v>4</v>
      </c>
      <c r="S24">
        <v>61.735728954160898</v>
      </c>
      <c r="T24" t="s">
        <v>30</v>
      </c>
      <c r="U24">
        <v>1.8607567631014899E-2</v>
      </c>
      <c r="V24" t="s">
        <v>40</v>
      </c>
      <c r="W24" t="s">
        <v>41</v>
      </c>
      <c r="X24">
        <v>523.36091472015801</v>
      </c>
    </row>
    <row r="25" spans="1:24">
      <c r="A25" t="s">
        <v>24</v>
      </c>
      <c r="B25" t="s">
        <v>76</v>
      </c>
      <c r="C25">
        <v>27.679780886501899</v>
      </c>
      <c r="D25">
        <v>55</v>
      </c>
      <c r="E25">
        <v>884</v>
      </c>
      <c r="F25">
        <v>2390.8078665561702</v>
      </c>
      <c r="G25" t="s">
        <v>38</v>
      </c>
      <c r="H25">
        <v>71</v>
      </c>
      <c r="I25">
        <v>1</v>
      </c>
      <c r="J25">
        <v>63</v>
      </c>
      <c r="K25">
        <v>10</v>
      </c>
      <c r="L25" t="s">
        <v>36</v>
      </c>
      <c r="M25">
        <v>9.5676489209230393</v>
      </c>
      <c r="N25" t="s">
        <v>52</v>
      </c>
      <c r="O25" t="s">
        <v>45</v>
      </c>
      <c r="P25">
        <v>22</v>
      </c>
      <c r="Q25">
        <v>780</v>
      </c>
      <c r="R25">
        <v>28</v>
      </c>
      <c r="S25">
        <v>50.120839612977299</v>
      </c>
      <c r="T25" t="s">
        <v>46</v>
      </c>
      <c r="U25">
        <v>2.5912754732111098</v>
      </c>
      <c r="V25" t="s">
        <v>47</v>
      </c>
      <c r="W25" t="s">
        <v>41</v>
      </c>
      <c r="X25">
        <v>205.57199582694699</v>
      </c>
    </row>
    <row r="26" spans="1:24">
      <c r="A26" t="s">
        <v>57</v>
      </c>
      <c r="B26" t="s">
        <v>77</v>
      </c>
      <c r="C26">
        <v>4.3243411858641601</v>
      </c>
      <c r="D26">
        <v>30</v>
      </c>
      <c r="E26">
        <v>391</v>
      </c>
      <c r="F26">
        <v>8858.3675710114803</v>
      </c>
      <c r="G26" t="s">
        <v>38</v>
      </c>
      <c r="H26">
        <v>84</v>
      </c>
      <c r="I26">
        <v>5</v>
      </c>
      <c r="J26">
        <v>29</v>
      </c>
      <c r="K26">
        <v>7</v>
      </c>
      <c r="L26" t="s">
        <v>36</v>
      </c>
      <c r="M26">
        <v>2.92485760114555</v>
      </c>
      <c r="N26" t="s">
        <v>44</v>
      </c>
      <c r="O26" t="s">
        <v>45</v>
      </c>
      <c r="P26">
        <v>11</v>
      </c>
      <c r="Q26">
        <v>568</v>
      </c>
      <c r="R26">
        <v>29</v>
      </c>
      <c r="S26">
        <v>98.6099572427038</v>
      </c>
      <c r="T26" t="s">
        <v>30</v>
      </c>
      <c r="U26">
        <v>1.3422915627227301</v>
      </c>
      <c r="V26" t="s">
        <v>47</v>
      </c>
      <c r="W26" t="s">
        <v>48</v>
      </c>
      <c r="X26">
        <v>196.329446112412</v>
      </c>
    </row>
    <row r="27" spans="1:24">
      <c r="A27" t="s">
        <v>24</v>
      </c>
      <c r="B27" t="s">
        <v>78</v>
      </c>
      <c r="C27">
        <v>4.1563083593111001</v>
      </c>
      <c r="D27">
        <v>32</v>
      </c>
      <c r="E27">
        <v>209</v>
      </c>
      <c r="F27">
        <v>9049.0778609398894</v>
      </c>
      <c r="G27" t="s">
        <v>55</v>
      </c>
      <c r="H27">
        <v>4</v>
      </c>
      <c r="I27">
        <v>26</v>
      </c>
      <c r="J27">
        <v>2</v>
      </c>
      <c r="K27">
        <v>8</v>
      </c>
      <c r="L27" t="s">
        <v>43</v>
      </c>
      <c r="M27">
        <v>9.7412916892843597</v>
      </c>
      <c r="N27" t="s">
        <v>61</v>
      </c>
      <c r="O27" t="s">
        <v>53</v>
      </c>
      <c r="P27">
        <v>28</v>
      </c>
      <c r="Q27">
        <v>447</v>
      </c>
      <c r="R27">
        <v>3</v>
      </c>
      <c r="S27">
        <v>40.382359702924802</v>
      </c>
      <c r="T27" t="s">
        <v>30</v>
      </c>
      <c r="U27">
        <v>3.69131029262872</v>
      </c>
      <c r="V27" t="s">
        <v>40</v>
      </c>
      <c r="W27" t="s">
        <v>48</v>
      </c>
      <c r="X27">
        <v>758.72477260293795</v>
      </c>
    </row>
    <row r="28" spans="1:24">
      <c r="A28" t="s">
        <v>24</v>
      </c>
      <c r="B28" t="s">
        <v>79</v>
      </c>
      <c r="C28">
        <v>39.629343985092603</v>
      </c>
      <c r="D28">
        <v>73</v>
      </c>
      <c r="E28">
        <v>142</v>
      </c>
      <c r="F28">
        <v>2174.7770543506499</v>
      </c>
      <c r="G28" t="s">
        <v>55</v>
      </c>
      <c r="H28">
        <v>82</v>
      </c>
      <c r="I28">
        <v>11</v>
      </c>
      <c r="J28">
        <v>52</v>
      </c>
      <c r="K28">
        <v>3</v>
      </c>
      <c r="L28" t="s">
        <v>43</v>
      </c>
      <c r="M28">
        <v>2.2310736812817198</v>
      </c>
      <c r="N28" t="s">
        <v>52</v>
      </c>
      <c r="O28" t="s">
        <v>45</v>
      </c>
      <c r="P28">
        <v>19</v>
      </c>
      <c r="Q28">
        <v>934</v>
      </c>
      <c r="R28">
        <v>23</v>
      </c>
      <c r="S28">
        <v>78.280383118415301</v>
      </c>
      <c r="T28" t="s">
        <v>30</v>
      </c>
      <c r="U28">
        <v>3.79723121711418</v>
      </c>
      <c r="V28" t="s">
        <v>31</v>
      </c>
      <c r="W28" t="s">
        <v>32</v>
      </c>
      <c r="X28">
        <v>458.53594573920901</v>
      </c>
    </row>
    <row r="29" spans="1:24">
      <c r="A29" t="s">
        <v>24</v>
      </c>
      <c r="B29" t="s">
        <v>80</v>
      </c>
      <c r="C29">
        <v>97.446946617892806</v>
      </c>
      <c r="D29">
        <v>9</v>
      </c>
      <c r="E29">
        <v>353</v>
      </c>
      <c r="F29">
        <v>3716.49332589403</v>
      </c>
      <c r="G29" t="s">
        <v>55</v>
      </c>
      <c r="H29">
        <v>59</v>
      </c>
      <c r="I29">
        <v>16</v>
      </c>
      <c r="J29">
        <v>48</v>
      </c>
      <c r="K29">
        <v>4</v>
      </c>
      <c r="L29" t="s">
        <v>27</v>
      </c>
      <c r="M29">
        <v>6.5075486210785503</v>
      </c>
      <c r="N29" t="s">
        <v>61</v>
      </c>
      <c r="O29" t="s">
        <v>53</v>
      </c>
      <c r="P29">
        <v>26</v>
      </c>
      <c r="Q29">
        <v>171</v>
      </c>
      <c r="R29">
        <v>4</v>
      </c>
      <c r="S29">
        <v>15.972229757181699</v>
      </c>
      <c r="T29" t="s">
        <v>64</v>
      </c>
      <c r="U29">
        <v>2.1193197367249201</v>
      </c>
      <c r="V29" t="s">
        <v>47</v>
      </c>
      <c r="W29" t="s">
        <v>48</v>
      </c>
      <c r="X29">
        <v>617.86691645837698</v>
      </c>
    </row>
    <row r="30" spans="1:24">
      <c r="A30" t="s">
        <v>57</v>
      </c>
      <c r="B30" t="s">
        <v>81</v>
      </c>
      <c r="C30">
        <v>92.557360812401996</v>
      </c>
      <c r="D30">
        <v>42</v>
      </c>
      <c r="E30">
        <v>352</v>
      </c>
      <c r="F30">
        <v>2686.4572235759802</v>
      </c>
      <c r="G30" t="s">
        <v>38</v>
      </c>
      <c r="H30">
        <v>47</v>
      </c>
      <c r="I30">
        <v>9</v>
      </c>
      <c r="J30">
        <v>62</v>
      </c>
      <c r="K30">
        <v>8</v>
      </c>
      <c r="L30" t="s">
        <v>43</v>
      </c>
      <c r="M30">
        <v>7.4067509529980704</v>
      </c>
      <c r="N30" t="s">
        <v>44</v>
      </c>
      <c r="O30" t="s">
        <v>29</v>
      </c>
      <c r="P30">
        <v>25</v>
      </c>
      <c r="Q30">
        <v>291</v>
      </c>
      <c r="R30">
        <v>4</v>
      </c>
      <c r="S30">
        <v>10.5282450700421</v>
      </c>
      <c r="T30" t="s">
        <v>46</v>
      </c>
      <c r="U30">
        <v>2.8646678378833701</v>
      </c>
      <c r="V30" t="s">
        <v>56</v>
      </c>
      <c r="W30" t="s">
        <v>32</v>
      </c>
      <c r="X30">
        <v>762.45918215568304</v>
      </c>
    </row>
    <row r="31" spans="1:24">
      <c r="A31" t="s">
        <v>57</v>
      </c>
      <c r="B31" t="s">
        <v>82</v>
      </c>
      <c r="C31">
        <v>2.3972747055971402</v>
      </c>
      <c r="D31">
        <v>12</v>
      </c>
      <c r="E31">
        <v>394</v>
      </c>
      <c r="F31">
        <v>6117.3246150839896</v>
      </c>
      <c r="G31" t="s">
        <v>35</v>
      </c>
      <c r="H31">
        <v>48</v>
      </c>
      <c r="I31">
        <v>15</v>
      </c>
      <c r="J31">
        <v>24</v>
      </c>
      <c r="K31">
        <v>4</v>
      </c>
      <c r="L31" t="s">
        <v>27</v>
      </c>
      <c r="M31">
        <v>9.8981405080692202</v>
      </c>
      <c r="N31" t="s">
        <v>39</v>
      </c>
      <c r="O31" t="s">
        <v>29</v>
      </c>
      <c r="P31">
        <v>13</v>
      </c>
      <c r="Q31">
        <v>171</v>
      </c>
      <c r="R31">
        <v>7</v>
      </c>
      <c r="S31">
        <v>59.429381810691503</v>
      </c>
      <c r="T31" t="s">
        <v>46</v>
      </c>
      <c r="U31">
        <v>0.81575707929567198</v>
      </c>
      <c r="V31" t="s">
        <v>40</v>
      </c>
      <c r="W31" t="s">
        <v>48</v>
      </c>
      <c r="X31">
        <v>123.437027511827</v>
      </c>
    </row>
    <row r="32" spans="1:24">
      <c r="A32" t="s">
        <v>57</v>
      </c>
      <c r="B32" t="s">
        <v>83</v>
      </c>
      <c r="C32">
        <v>63.447559185207297</v>
      </c>
      <c r="D32">
        <v>3</v>
      </c>
      <c r="E32">
        <v>253</v>
      </c>
      <c r="F32">
        <v>8318.9031946171708</v>
      </c>
      <c r="G32" t="s">
        <v>35</v>
      </c>
      <c r="H32">
        <v>45</v>
      </c>
      <c r="I32">
        <v>5</v>
      </c>
      <c r="J32">
        <v>67</v>
      </c>
      <c r="K32">
        <v>7</v>
      </c>
      <c r="L32" t="s">
        <v>27</v>
      </c>
      <c r="M32">
        <v>8.1009731453970293</v>
      </c>
      <c r="N32" t="s">
        <v>39</v>
      </c>
      <c r="O32" t="s">
        <v>45</v>
      </c>
      <c r="P32">
        <v>16</v>
      </c>
      <c r="Q32">
        <v>329</v>
      </c>
      <c r="R32">
        <v>7</v>
      </c>
      <c r="S32">
        <v>39.292875586065698</v>
      </c>
      <c r="T32" t="s">
        <v>64</v>
      </c>
      <c r="U32">
        <v>3.8780989365884802</v>
      </c>
      <c r="V32" t="s">
        <v>31</v>
      </c>
      <c r="W32" t="s">
        <v>32</v>
      </c>
      <c r="X32">
        <v>764.93537594070801</v>
      </c>
    </row>
    <row r="33" spans="1:24">
      <c r="A33" t="s">
        <v>24</v>
      </c>
      <c r="B33" t="s">
        <v>84</v>
      </c>
      <c r="C33">
        <v>8.0228592105263896</v>
      </c>
      <c r="D33">
        <v>10</v>
      </c>
      <c r="E33">
        <v>327</v>
      </c>
      <c r="F33">
        <v>2766.3423668660798</v>
      </c>
      <c r="G33" t="s">
        <v>55</v>
      </c>
      <c r="H33">
        <v>60</v>
      </c>
      <c r="I33">
        <v>26</v>
      </c>
      <c r="J33">
        <v>35</v>
      </c>
      <c r="K33">
        <v>7</v>
      </c>
      <c r="L33" t="s">
        <v>27</v>
      </c>
      <c r="M33">
        <v>8.9545283153180097</v>
      </c>
      <c r="N33" t="s">
        <v>52</v>
      </c>
      <c r="O33" t="s">
        <v>45</v>
      </c>
      <c r="P33">
        <v>27</v>
      </c>
      <c r="Q33">
        <v>806</v>
      </c>
      <c r="R33">
        <v>30</v>
      </c>
      <c r="S33">
        <v>51.634893400109299</v>
      </c>
      <c r="T33" t="s">
        <v>30</v>
      </c>
      <c r="U33">
        <v>0.96539470535239302</v>
      </c>
      <c r="V33" t="s">
        <v>31</v>
      </c>
      <c r="W33" t="s">
        <v>41</v>
      </c>
      <c r="X33">
        <v>880.08098824716103</v>
      </c>
    </row>
    <row r="34" spans="1:24">
      <c r="A34" t="s">
        <v>33</v>
      </c>
      <c r="B34" t="s">
        <v>85</v>
      </c>
      <c r="C34">
        <v>50.847393051718697</v>
      </c>
      <c r="D34">
        <v>28</v>
      </c>
      <c r="E34">
        <v>168</v>
      </c>
      <c r="F34">
        <v>9655.1351027193905</v>
      </c>
      <c r="G34" t="s">
        <v>55</v>
      </c>
      <c r="H34">
        <v>6</v>
      </c>
      <c r="I34">
        <v>17</v>
      </c>
      <c r="J34">
        <v>44</v>
      </c>
      <c r="K34">
        <v>4</v>
      </c>
      <c r="L34" t="s">
        <v>27</v>
      </c>
      <c r="M34">
        <v>2.6796609649813998</v>
      </c>
      <c r="N34" t="s">
        <v>28</v>
      </c>
      <c r="O34" t="s">
        <v>62</v>
      </c>
      <c r="P34">
        <v>24</v>
      </c>
      <c r="Q34">
        <v>461</v>
      </c>
      <c r="R34">
        <v>8</v>
      </c>
      <c r="S34">
        <v>60.251145661598002</v>
      </c>
      <c r="T34" t="s">
        <v>30</v>
      </c>
      <c r="U34">
        <v>2.9890000066550702</v>
      </c>
      <c r="V34" t="s">
        <v>47</v>
      </c>
      <c r="W34" t="s">
        <v>41</v>
      </c>
      <c r="X34">
        <v>609.379206618426</v>
      </c>
    </row>
    <row r="35" spans="1:24">
      <c r="A35" t="s">
        <v>33</v>
      </c>
      <c r="B35" t="s">
        <v>86</v>
      </c>
      <c r="C35">
        <v>79.209936015656695</v>
      </c>
      <c r="D35">
        <v>43</v>
      </c>
      <c r="E35">
        <v>781</v>
      </c>
      <c r="F35">
        <v>9571.5504873278096</v>
      </c>
      <c r="G35" t="s">
        <v>38</v>
      </c>
      <c r="H35">
        <v>89</v>
      </c>
      <c r="I35">
        <v>13</v>
      </c>
      <c r="J35">
        <v>64</v>
      </c>
      <c r="K35">
        <v>4</v>
      </c>
      <c r="L35" t="s">
        <v>43</v>
      </c>
      <c r="M35">
        <v>6.5991049012385803</v>
      </c>
      <c r="N35" t="s">
        <v>28</v>
      </c>
      <c r="O35" t="s">
        <v>45</v>
      </c>
      <c r="P35">
        <v>30</v>
      </c>
      <c r="Q35">
        <v>737</v>
      </c>
      <c r="R35">
        <v>7</v>
      </c>
      <c r="S35">
        <v>29.6924671537497</v>
      </c>
      <c r="T35" t="s">
        <v>64</v>
      </c>
      <c r="U35">
        <v>1.94603611938611</v>
      </c>
      <c r="V35" t="s">
        <v>31</v>
      </c>
      <c r="W35" t="s">
        <v>48</v>
      </c>
      <c r="X35">
        <v>761.17390951487698</v>
      </c>
    </row>
    <row r="36" spans="1:24">
      <c r="A36" t="s">
        <v>57</v>
      </c>
      <c r="B36" t="s">
        <v>87</v>
      </c>
      <c r="C36">
        <v>64.795435000155607</v>
      </c>
      <c r="D36">
        <v>63</v>
      </c>
      <c r="E36">
        <v>616</v>
      </c>
      <c r="F36">
        <v>5149.9983504080301</v>
      </c>
      <c r="G36" t="s">
        <v>26</v>
      </c>
      <c r="H36">
        <v>4</v>
      </c>
      <c r="I36">
        <v>17</v>
      </c>
      <c r="J36">
        <v>95</v>
      </c>
      <c r="K36">
        <v>9</v>
      </c>
      <c r="L36" t="s">
        <v>43</v>
      </c>
      <c r="M36">
        <v>4.85827050343664</v>
      </c>
      <c r="N36" t="s">
        <v>44</v>
      </c>
      <c r="O36" t="s">
        <v>62</v>
      </c>
      <c r="P36">
        <v>1</v>
      </c>
      <c r="Q36">
        <v>251</v>
      </c>
      <c r="R36">
        <v>23</v>
      </c>
      <c r="S36">
        <v>23.853427512896101</v>
      </c>
      <c r="T36" t="s">
        <v>46</v>
      </c>
      <c r="U36">
        <v>3.54104601225092</v>
      </c>
      <c r="V36" t="s">
        <v>56</v>
      </c>
      <c r="W36" t="s">
        <v>48</v>
      </c>
      <c r="X36">
        <v>371.25529551987103</v>
      </c>
    </row>
    <row r="37" spans="1:24">
      <c r="A37" t="s">
        <v>33</v>
      </c>
      <c r="B37" t="s">
        <v>88</v>
      </c>
      <c r="C37">
        <v>37.467592329842397</v>
      </c>
      <c r="D37">
        <v>96</v>
      </c>
      <c r="E37">
        <v>602</v>
      </c>
      <c r="F37">
        <v>9061.7108955077201</v>
      </c>
      <c r="G37" t="s">
        <v>38</v>
      </c>
      <c r="H37">
        <v>1</v>
      </c>
      <c r="I37">
        <v>26</v>
      </c>
      <c r="J37">
        <v>21</v>
      </c>
      <c r="K37">
        <v>7</v>
      </c>
      <c r="L37" t="s">
        <v>36</v>
      </c>
      <c r="M37">
        <v>1.0194875708221101</v>
      </c>
      <c r="N37" t="s">
        <v>39</v>
      </c>
      <c r="O37" t="s">
        <v>62</v>
      </c>
      <c r="P37">
        <v>4</v>
      </c>
      <c r="Q37">
        <v>452</v>
      </c>
      <c r="R37">
        <v>10</v>
      </c>
      <c r="S37">
        <v>10.754272815029299</v>
      </c>
      <c r="T37" t="s">
        <v>64</v>
      </c>
      <c r="U37">
        <v>0.64660455937205397</v>
      </c>
      <c r="V37" t="s">
        <v>31</v>
      </c>
      <c r="W37" t="s">
        <v>32</v>
      </c>
      <c r="X37">
        <v>510.35800043352299</v>
      </c>
    </row>
    <row r="38" spans="1:24">
      <c r="A38" t="s">
        <v>57</v>
      </c>
      <c r="B38" t="s">
        <v>89</v>
      </c>
      <c r="C38">
        <v>84.957786816350406</v>
      </c>
      <c r="D38">
        <v>11</v>
      </c>
      <c r="E38">
        <v>449</v>
      </c>
      <c r="F38">
        <v>6541.3293448024597</v>
      </c>
      <c r="G38" t="s">
        <v>35</v>
      </c>
      <c r="H38">
        <v>42</v>
      </c>
      <c r="I38">
        <v>27</v>
      </c>
      <c r="J38">
        <v>85</v>
      </c>
      <c r="K38">
        <v>8</v>
      </c>
      <c r="L38" t="s">
        <v>43</v>
      </c>
      <c r="M38">
        <v>5.2881899903273997</v>
      </c>
      <c r="N38" t="s">
        <v>39</v>
      </c>
      <c r="O38" t="s">
        <v>50</v>
      </c>
      <c r="P38">
        <v>3</v>
      </c>
      <c r="Q38">
        <v>367</v>
      </c>
      <c r="R38">
        <v>2</v>
      </c>
      <c r="S38">
        <v>58.004787044743701</v>
      </c>
      <c r="T38" t="s">
        <v>64</v>
      </c>
      <c r="U38">
        <v>0.54115409806058101</v>
      </c>
      <c r="V38" t="s">
        <v>56</v>
      </c>
      <c r="W38" t="s">
        <v>41</v>
      </c>
      <c r="X38">
        <v>553.42047123035502</v>
      </c>
    </row>
    <row r="39" spans="1:24">
      <c r="A39" t="s">
        <v>33</v>
      </c>
      <c r="B39" t="s">
        <v>90</v>
      </c>
      <c r="C39">
        <v>9.81300257875405</v>
      </c>
      <c r="D39">
        <v>34</v>
      </c>
      <c r="E39">
        <v>963</v>
      </c>
      <c r="F39">
        <v>7573.4024578487297</v>
      </c>
      <c r="G39" t="s">
        <v>35</v>
      </c>
      <c r="H39">
        <v>18</v>
      </c>
      <c r="I39">
        <v>23</v>
      </c>
      <c r="J39">
        <v>28</v>
      </c>
      <c r="K39">
        <v>3</v>
      </c>
      <c r="L39" t="s">
        <v>27</v>
      </c>
      <c r="M39">
        <v>2.1079512671590801</v>
      </c>
      <c r="N39" t="s">
        <v>61</v>
      </c>
      <c r="O39" t="s">
        <v>50</v>
      </c>
      <c r="P39">
        <v>26</v>
      </c>
      <c r="Q39">
        <v>671</v>
      </c>
      <c r="R39">
        <v>19</v>
      </c>
      <c r="S39">
        <v>45.531364237162101</v>
      </c>
      <c r="T39" t="s">
        <v>46</v>
      </c>
      <c r="U39">
        <v>3.8055333792433501</v>
      </c>
      <c r="V39" t="s">
        <v>40</v>
      </c>
      <c r="W39" t="s">
        <v>41</v>
      </c>
      <c r="X39">
        <v>403.80897424817999</v>
      </c>
    </row>
    <row r="40" spans="1:24">
      <c r="A40" t="s">
        <v>33</v>
      </c>
      <c r="B40" t="s">
        <v>91</v>
      </c>
      <c r="C40">
        <v>23.3998447526143</v>
      </c>
      <c r="D40">
        <v>5</v>
      </c>
      <c r="E40">
        <v>963</v>
      </c>
      <c r="F40">
        <v>2438.3399304700201</v>
      </c>
      <c r="G40" t="s">
        <v>35</v>
      </c>
      <c r="H40">
        <v>25</v>
      </c>
      <c r="I40">
        <v>8</v>
      </c>
      <c r="J40">
        <v>21</v>
      </c>
      <c r="K40">
        <v>9</v>
      </c>
      <c r="L40" t="s">
        <v>36</v>
      </c>
      <c r="M40">
        <v>1.53265527359043</v>
      </c>
      <c r="N40" t="s">
        <v>28</v>
      </c>
      <c r="O40" t="s">
        <v>45</v>
      </c>
      <c r="P40">
        <v>24</v>
      </c>
      <c r="Q40">
        <v>867</v>
      </c>
      <c r="R40">
        <v>15</v>
      </c>
      <c r="S40">
        <v>34.343277465075303</v>
      </c>
      <c r="T40" t="s">
        <v>30</v>
      </c>
      <c r="U40">
        <v>2.61028808484811</v>
      </c>
      <c r="V40" t="s">
        <v>56</v>
      </c>
      <c r="W40" t="s">
        <v>48</v>
      </c>
      <c r="X40">
        <v>183.932968043594</v>
      </c>
    </row>
    <row r="41" spans="1:24">
      <c r="A41" t="s">
        <v>57</v>
      </c>
      <c r="B41" t="s">
        <v>92</v>
      </c>
      <c r="C41">
        <v>52.075930682707799</v>
      </c>
      <c r="D41">
        <v>75</v>
      </c>
      <c r="E41">
        <v>705</v>
      </c>
      <c r="F41">
        <v>9692.3180402184298</v>
      </c>
      <c r="G41" t="s">
        <v>26</v>
      </c>
      <c r="H41">
        <v>69</v>
      </c>
      <c r="I41">
        <v>1</v>
      </c>
      <c r="J41">
        <v>88</v>
      </c>
      <c r="K41">
        <v>5</v>
      </c>
      <c r="L41" t="s">
        <v>27</v>
      </c>
      <c r="M41">
        <v>9.2359314372492207</v>
      </c>
      <c r="N41" t="s">
        <v>44</v>
      </c>
      <c r="O41" t="s">
        <v>29</v>
      </c>
      <c r="P41">
        <v>10</v>
      </c>
      <c r="Q41">
        <v>841</v>
      </c>
      <c r="R41">
        <v>12</v>
      </c>
      <c r="S41">
        <v>5.9306936455283097</v>
      </c>
      <c r="T41" t="s">
        <v>30</v>
      </c>
      <c r="U41">
        <v>0.613326899164507</v>
      </c>
      <c r="V41" t="s">
        <v>40</v>
      </c>
      <c r="W41" t="s">
        <v>32</v>
      </c>
      <c r="X41">
        <v>339.67286994860598</v>
      </c>
    </row>
    <row r="42" spans="1:24">
      <c r="A42" t="s">
        <v>33</v>
      </c>
      <c r="B42" t="s">
        <v>93</v>
      </c>
      <c r="C42">
        <v>19.127477265823199</v>
      </c>
      <c r="D42">
        <v>26</v>
      </c>
      <c r="E42">
        <v>176</v>
      </c>
      <c r="F42">
        <v>1912.4656631007599</v>
      </c>
      <c r="G42" t="s">
        <v>35</v>
      </c>
      <c r="H42">
        <v>78</v>
      </c>
      <c r="I42">
        <v>29</v>
      </c>
      <c r="J42">
        <v>34</v>
      </c>
      <c r="K42">
        <v>3</v>
      </c>
      <c r="L42" t="s">
        <v>36</v>
      </c>
      <c r="M42">
        <v>5.5625037788303802</v>
      </c>
      <c r="N42" t="s">
        <v>61</v>
      </c>
      <c r="O42" t="s">
        <v>45</v>
      </c>
      <c r="P42">
        <v>30</v>
      </c>
      <c r="Q42">
        <v>791</v>
      </c>
      <c r="R42">
        <v>6</v>
      </c>
      <c r="S42">
        <v>9.0058074287816403</v>
      </c>
      <c r="T42" t="s">
        <v>46</v>
      </c>
      <c r="U42">
        <v>1.4519722039968099</v>
      </c>
      <c r="V42" t="s">
        <v>40</v>
      </c>
      <c r="W42" t="s">
        <v>32</v>
      </c>
      <c r="X42">
        <v>653.67299455203295</v>
      </c>
    </row>
    <row r="43" spans="1:24">
      <c r="A43" t="s">
        <v>33</v>
      </c>
      <c r="B43" t="s">
        <v>94</v>
      </c>
      <c r="C43">
        <v>80.541424170940303</v>
      </c>
      <c r="D43">
        <v>97</v>
      </c>
      <c r="E43">
        <v>933</v>
      </c>
      <c r="F43">
        <v>5724.9593504562599</v>
      </c>
      <c r="G43" t="s">
        <v>35</v>
      </c>
      <c r="H43">
        <v>90</v>
      </c>
      <c r="I43">
        <v>20</v>
      </c>
      <c r="J43">
        <v>39</v>
      </c>
      <c r="K43">
        <v>8</v>
      </c>
      <c r="L43" t="s">
        <v>43</v>
      </c>
      <c r="M43">
        <v>7.2295951397364702</v>
      </c>
      <c r="N43" t="s">
        <v>39</v>
      </c>
      <c r="O43" t="s">
        <v>45</v>
      </c>
      <c r="P43">
        <v>18</v>
      </c>
      <c r="Q43">
        <v>793</v>
      </c>
      <c r="R43">
        <v>1</v>
      </c>
      <c r="S43">
        <v>88.179407104217404</v>
      </c>
      <c r="T43" t="s">
        <v>30</v>
      </c>
      <c r="U43">
        <v>4.2132694305865597</v>
      </c>
      <c r="V43" t="s">
        <v>31</v>
      </c>
      <c r="W43" t="s">
        <v>48</v>
      </c>
      <c r="X43">
        <v>529.80872398069096</v>
      </c>
    </row>
    <row r="44" spans="1:24">
      <c r="A44" t="s">
        <v>33</v>
      </c>
      <c r="B44" t="s">
        <v>95</v>
      </c>
      <c r="C44">
        <v>99.113291615317095</v>
      </c>
      <c r="D44">
        <v>35</v>
      </c>
      <c r="E44">
        <v>556</v>
      </c>
      <c r="F44">
        <v>5521.2052590109697</v>
      </c>
      <c r="G44" t="s">
        <v>35</v>
      </c>
      <c r="H44">
        <v>64</v>
      </c>
      <c r="I44">
        <v>19</v>
      </c>
      <c r="J44">
        <v>38</v>
      </c>
      <c r="K44">
        <v>8</v>
      </c>
      <c r="L44" t="s">
        <v>27</v>
      </c>
      <c r="M44">
        <v>5.7732637437666501</v>
      </c>
      <c r="N44" t="s">
        <v>52</v>
      </c>
      <c r="O44" t="s">
        <v>62</v>
      </c>
      <c r="P44">
        <v>18</v>
      </c>
      <c r="Q44">
        <v>892</v>
      </c>
      <c r="R44">
        <v>7</v>
      </c>
      <c r="S44">
        <v>95.332064548772493</v>
      </c>
      <c r="T44" t="s">
        <v>46</v>
      </c>
      <c r="U44">
        <v>4.5302262398259602E-2</v>
      </c>
      <c r="V44" t="s">
        <v>56</v>
      </c>
      <c r="W44" t="s">
        <v>48</v>
      </c>
      <c r="X44">
        <v>275.52437113130901</v>
      </c>
    </row>
    <row r="45" spans="1:24">
      <c r="A45" t="s">
        <v>33</v>
      </c>
      <c r="B45" t="s">
        <v>96</v>
      </c>
      <c r="C45">
        <v>46.529167614516702</v>
      </c>
      <c r="D45">
        <v>98</v>
      </c>
      <c r="E45">
        <v>155</v>
      </c>
      <c r="F45">
        <v>1839.60942585676</v>
      </c>
      <c r="G45" t="s">
        <v>35</v>
      </c>
      <c r="H45">
        <v>22</v>
      </c>
      <c r="I45">
        <v>27</v>
      </c>
      <c r="J45">
        <v>57</v>
      </c>
      <c r="K45">
        <v>4</v>
      </c>
      <c r="L45" t="s">
        <v>43</v>
      </c>
      <c r="M45">
        <v>7.5262483268515004</v>
      </c>
      <c r="N45" t="s">
        <v>44</v>
      </c>
      <c r="O45" t="s">
        <v>53</v>
      </c>
      <c r="P45">
        <v>26</v>
      </c>
      <c r="Q45">
        <v>179</v>
      </c>
      <c r="R45">
        <v>7</v>
      </c>
      <c r="S45">
        <v>96.422820639571796</v>
      </c>
      <c r="T45" t="s">
        <v>46</v>
      </c>
      <c r="U45">
        <v>4.9392552886209398</v>
      </c>
      <c r="V45" t="s">
        <v>31</v>
      </c>
      <c r="W45" t="s">
        <v>48</v>
      </c>
      <c r="X45">
        <v>635.65712050199102</v>
      </c>
    </row>
    <row r="46" spans="1:24">
      <c r="A46" t="s">
        <v>24</v>
      </c>
      <c r="B46" t="s">
        <v>97</v>
      </c>
      <c r="C46">
        <v>11.7432717763092</v>
      </c>
      <c r="D46">
        <v>6</v>
      </c>
      <c r="E46">
        <v>598</v>
      </c>
      <c r="F46">
        <v>5737.4255991190203</v>
      </c>
      <c r="G46" t="s">
        <v>38</v>
      </c>
      <c r="H46">
        <v>36</v>
      </c>
      <c r="I46">
        <v>29</v>
      </c>
      <c r="J46">
        <v>85</v>
      </c>
      <c r="K46">
        <v>9</v>
      </c>
      <c r="L46" t="s">
        <v>27</v>
      </c>
      <c r="M46">
        <v>3.6940212683884499</v>
      </c>
      <c r="N46" t="s">
        <v>44</v>
      </c>
      <c r="O46" t="s">
        <v>29</v>
      </c>
      <c r="P46">
        <v>1</v>
      </c>
      <c r="Q46">
        <v>206</v>
      </c>
      <c r="R46">
        <v>23</v>
      </c>
      <c r="S46">
        <v>26.2773659573324</v>
      </c>
      <c r="T46" t="s">
        <v>30</v>
      </c>
      <c r="U46">
        <v>0.37230476798509698</v>
      </c>
      <c r="V46" t="s">
        <v>40</v>
      </c>
      <c r="W46" t="s">
        <v>48</v>
      </c>
      <c r="X46">
        <v>716.04411975933999</v>
      </c>
    </row>
    <row r="47" spans="1:24">
      <c r="A47" t="s">
        <v>57</v>
      </c>
      <c r="B47" t="s">
        <v>98</v>
      </c>
      <c r="C47">
        <v>51.355790913110297</v>
      </c>
      <c r="D47">
        <v>34</v>
      </c>
      <c r="E47">
        <v>919</v>
      </c>
      <c r="F47">
        <v>7152.28604943551</v>
      </c>
      <c r="G47" t="s">
        <v>35</v>
      </c>
      <c r="H47">
        <v>13</v>
      </c>
      <c r="I47">
        <v>19</v>
      </c>
      <c r="J47">
        <v>72</v>
      </c>
      <c r="K47">
        <v>6</v>
      </c>
      <c r="L47" t="s">
        <v>43</v>
      </c>
      <c r="M47">
        <v>7.5774496573766896</v>
      </c>
      <c r="N47" t="s">
        <v>61</v>
      </c>
      <c r="O47" t="s">
        <v>50</v>
      </c>
      <c r="P47">
        <v>7</v>
      </c>
      <c r="Q47">
        <v>834</v>
      </c>
      <c r="R47">
        <v>18</v>
      </c>
      <c r="S47">
        <v>22.554106620887701</v>
      </c>
      <c r="T47" t="s">
        <v>46</v>
      </c>
      <c r="U47">
        <v>2.9626263204548802</v>
      </c>
      <c r="V47" t="s">
        <v>47</v>
      </c>
      <c r="W47" t="s">
        <v>48</v>
      </c>
      <c r="X47">
        <v>610.45326961922694</v>
      </c>
    </row>
    <row r="48" spans="1:24">
      <c r="A48" t="s">
        <v>24</v>
      </c>
      <c r="B48" t="s">
        <v>99</v>
      </c>
      <c r="C48">
        <v>33.784138033065503</v>
      </c>
      <c r="D48">
        <v>1</v>
      </c>
      <c r="E48">
        <v>24</v>
      </c>
      <c r="F48">
        <v>5267.9568075105199</v>
      </c>
      <c r="G48" t="s">
        <v>55</v>
      </c>
      <c r="H48">
        <v>93</v>
      </c>
      <c r="I48">
        <v>7</v>
      </c>
      <c r="J48">
        <v>52</v>
      </c>
      <c r="K48">
        <v>6</v>
      </c>
      <c r="L48" t="s">
        <v>27</v>
      </c>
      <c r="M48">
        <v>5.2151550087119096</v>
      </c>
      <c r="N48" t="s">
        <v>61</v>
      </c>
      <c r="O48" t="s">
        <v>62</v>
      </c>
      <c r="P48">
        <v>25</v>
      </c>
      <c r="Q48">
        <v>794</v>
      </c>
      <c r="R48">
        <v>25</v>
      </c>
      <c r="S48">
        <v>66.312544439991598</v>
      </c>
      <c r="T48" t="s">
        <v>64</v>
      </c>
      <c r="U48">
        <v>3.2196046120841002</v>
      </c>
      <c r="V48" t="s">
        <v>47</v>
      </c>
      <c r="W48" t="s">
        <v>48</v>
      </c>
      <c r="X48">
        <v>495.30569702847299</v>
      </c>
    </row>
    <row r="49" spans="1:24">
      <c r="A49" t="s">
        <v>24</v>
      </c>
      <c r="B49" t="s">
        <v>100</v>
      </c>
      <c r="C49">
        <v>27.082207199888899</v>
      </c>
      <c r="D49">
        <v>75</v>
      </c>
      <c r="E49">
        <v>859</v>
      </c>
      <c r="F49">
        <v>2556.7673606335902</v>
      </c>
      <c r="G49" t="s">
        <v>26</v>
      </c>
      <c r="H49">
        <v>92</v>
      </c>
      <c r="I49">
        <v>29</v>
      </c>
      <c r="J49">
        <v>6</v>
      </c>
      <c r="K49">
        <v>8</v>
      </c>
      <c r="L49" t="s">
        <v>27</v>
      </c>
      <c r="M49">
        <v>4.0709558370840799</v>
      </c>
      <c r="N49" t="s">
        <v>28</v>
      </c>
      <c r="O49" t="s">
        <v>62</v>
      </c>
      <c r="P49">
        <v>18</v>
      </c>
      <c r="Q49">
        <v>870</v>
      </c>
      <c r="R49">
        <v>23</v>
      </c>
      <c r="S49">
        <v>77.322353211051606</v>
      </c>
      <c r="T49" t="s">
        <v>30</v>
      </c>
      <c r="U49">
        <v>3.6486105925361998</v>
      </c>
      <c r="V49" t="s">
        <v>31</v>
      </c>
      <c r="W49" t="s">
        <v>32</v>
      </c>
      <c r="X49">
        <v>380.43593711196399</v>
      </c>
    </row>
    <row r="50" spans="1:24">
      <c r="A50" t="s">
        <v>33</v>
      </c>
      <c r="B50" t="s">
        <v>101</v>
      </c>
      <c r="C50">
        <v>95.712135880936003</v>
      </c>
      <c r="D50">
        <v>93</v>
      </c>
      <c r="E50">
        <v>910</v>
      </c>
      <c r="F50">
        <v>7089.4742499341801</v>
      </c>
      <c r="G50" t="s">
        <v>55</v>
      </c>
      <c r="H50">
        <v>4</v>
      </c>
      <c r="I50">
        <v>15</v>
      </c>
      <c r="J50">
        <v>51</v>
      </c>
      <c r="K50">
        <v>9</v>
      </c>
      <c r="L50" t="s">
        <v>27</v>
      </c>
      <c r="M50">
        <v>8.9787507559499709</v>
      </c>
      <c r="N50" t="s">
        <v>39</v>
      </c>
      <c r="O50" t="s">
        <v>45</v>
      </c>
      <c r="P50">
        <v>10</v>
      </c>
      <c r="Q50">
        <v>964</v>
      </c>
      <c r="R50">
        <v>20</v>
      </c>
      <c r="S50">
        <v>19.7129929112936</v>
      </c>
      <c r="T50" t="s">
        <v>30</v>
      </c>
      <c r="U50">
        <v>0.38057358671321301</v>
      </c>
      <c r="V50" t="s">
        <v>47</v>
      </c>
      <c r="W50" t="s">
        <v>48</v>
      </c>
      <c r="X50">
        <v>581.60235505058597</v>
      </c>
    </row>
    <row r="51" spans="1:24">
      <c r="A51" t="s">
        <v>24</v>
      </c>
      <c r="B51" t="s">
        <v>102</v>
      </c>
      <c r="C51">
        <v>76.035544426891704</v>
      </c>
      <c r="D51">
        <v>28</v>
      </c>
      <c r="E51">
        <v>29</v>
      </c>
      <c r="F51">
        <v>7397.0710045871801</v>
      </c>
      <c r="G51" t="s">
        <v>26</v>
      </c>
      <c r="H51">
        <v>30</v>
      </c>
      <c r="I51">
        <v>16</v>
      </c>
      <c r="J51">
        <v>9</v>
      </c>
      <c r="K51">
        <v>3</v>
      </c>
      <c r="L51" t="s">
        <v>43</v>
      </c>
      <c r="M51">
        <v>7.0958331565551296</v>
      </c>
      <c r="N51" t="s">
        <v>61</v>
      </c>
      <c r="O51" t="s">
        <v>29</v>
      </c>
      <c r="P51">
        <v>9</v>
      </c>
      <c r="Q51">
        <v>109</v>
      </c>
      <c r="R51">
        <v>18</v>
      </c>
      <c r="S51">
        <v>23.126363582464698</v>
      </c>
      <c r="T51" t="s">
        <v>46</v>
      </c>
      <c r="U51">
        <v>1.6981125407144</v>
      </c>
      <c r="V51" t="s">
        <v>47</v>
      </c>
      <c r="W51" t="s">
        <v>32</v>
      </c>
      <c r="X51">
        <v>768.65191395437</v>
      </c>
    </row>
    <row r="52" spans="1:24">
      <c r="A52" t="s">
        <v>57</v>
      </c>
      <c r="B52" t="s">
        <v>103</v>
      </c>
      <c r="C52">
        <v>78.897913205639995</v>
      </c>
      <c r="D52">
        <v>19</v>
      </c>
      <c r="E52">
        <v>99</v>
      </c>
      <c r="F52">
        <v>8001.6132065190004</v>
      </c>
      <c r="G52" t="s">
        <v>38</v>
      </c>
      <c r="H52">
        <v>97</v>
      </c>
      <c r="I52">
        <v>24</v>
      </c>
      <c r="J52">
        <v>9</v>
      </c>
      <c r="K52">
        <v>6</v>
      </c>
      <c r="L52" t="s">
        <v>43</v>
      </c>
      <c r="M52">
        <v>2.5056210329009101</v>
      </c>
      <c r="N52" t="s">
        <v>44</v>
      </c>
      <c r="O52" t="s">
        <v>50</v>
      </c>
      <c r="P52">
        <v>28</v>
      </c>
      <c r="Q52">
        <v>177</v>
      </c>
      <c r="R52">
        <v>28</v>
      </c>
      <c r="S52">
        <v>14.1478154439792</v>
      </c>
      <c r="T52" t="s">
        <v>64</v>
      </c>
      <c r="U52">
        <v>2.8258139854001301</v>
      </c>
      <c r="V52" t="s">
        <v>47</v>
      </c>
      <c r="W52" t="s">
        <v>48</v>
      </c>
      <c r="X52">
        <v>336.89016851997701</v>
      </c>
    </row>
    <row r="53" spans="1:24">
      <c r="A53" t="s">
        <v>57</v>
      </c>
      <c r="B53" t="s">
        <v>104</v>
      </c>
      <c r="C53">
        <v>14.203484264803</v>
      </c>
      <c r="D53">
        <v>91</v>
      </c>
      <c r="E53">
        <v>633</v>
      </c>
      <c r="F53">
        <v>5910.8853896688897</v>
      </c>
      <c r="G53" t="s">
        <v>35</v>
      </c>
      <c r="H53">
        <v>31</v>
      </c>
      <c r="I53">
        <v>23</v>
      </c>
      <c r="J53">
        <v>82</v>
      </c>
      <c r="K53">
        <v>10</v>
      </c>
      <c r="L53" t="s">
        <v>36</v>
      </c>
      <c r="M53">
        <v>6.2478609149759903</v>
      </c>
      <c r="N53" t="s">
        <v>61</v>
      </c>
      <c r="O53" t="s">
        <v>50</v>
      </c>
      <c r="P53">
        <v>20</v>
      </c>
      <c r="Q53">
        <v>306</v>
      </c>
      <c r="R53">
        <v>21</v>
      </c>
      <c r="S53">
        <v>45.178757924634503</v>
      </c>
      <c r="T53" t="s">
        <v>46</v>
      </c>
      <c r="U53">
        <v>4.7548008046711798</v>
      </c>
      <c r="V53" t="s">
        <v>47</v>
      </c>
      <c r="W53" t="s">
        <v>32</v>
      </c>
      <c r="X53">
        <v>496.24865029194001</v>
      </c>
    </row>
    <row r="54" spans="1:24">
      <c r="A54" t="s">
        <v>24</v>
      </c>
      <c r="B54" t="s">
        <v>105</v>
      </c>
      <c r="C54">
        <v>26.700760972461701</v>
      </c>
      <c r="D54">
        <v>61</v>
      </c>
      <c r="E54">
        <v>154</v>
      </c>
      <c r="F54">
        <v>9866.4654579796897</v>
      </c>
      <c r="G54" t="s">
        <v>55</v>
      </c>
      <c r="H54">
        <v>100</v>
      </c>
      <c r="I54">
        <v>4</v>
      </c>
      <c r="J54">
        <v>52</v>
      </c>
      <c r="K54">
        <v>1</v>
      </c>
      <c r="L54" t="s">
        <v>36</v>
      </c>
      <c r="M54">
        <v>4.78300055794766</v>
      </c>
      <c r="N54" t="s">
        <v>44</v>
      </c>
      <c r="O54" t="s">
        <v>53</v>
      </c>
      <c r="P54">
        <v>18</v>
      </c>
      <c r="Q54">
        <v>673</v>
      </c>
      <c r="R54">
        <v>28</v>
      </c>
      <c r="S54">
        <v>14.190328344569901</v>
      </c>
      <c r="T54" t="s">
        <v>30</v>
      </c>
      <c r="U54">
        <v>1.77295117208355</v>
      </c>
      <c r="V54" t="s">
        <v>31</v>
      </c>
      <c r="W54" t="s">
        <v>48</v>
      </c>
      <c r="X54">
        <v>694.98231757944495</v>
      </c>
    </row>
    <row r="55" spans="1:24">
      <c r="A55" t="s">
        <v>33</v>
      </c>
      <c r="B55" t="s">
        <v>106</v>
      </c>
      <c r="C55">
        <v>98.031829656465007</v>
      </c>
      <c r="D55">
        <v>1</v>
      </c>
      <c r="E55">
        <v>820</v>
      </c>
      <c r="F55">
        <v>9435.7626089121295</v>
      </c>
      <c r="G55" t="s">
        <v>55</v>
      </c>
      <c r="H55">
        <v>64</v>
      </c>
      <c r="I55">
        <v>11</v>
      </c>
      <c r="J55">
        <v>11</v>
      </c>
      <c r="K55">
        <v>1</v>
      </c>
      <c r="L55" t="s">
        <v>27</v>
      </c>
      <c r="M55">
        <v>8.6310521797689397</v>
      </c>
      <c r="N55" t="s">
        <v>39</v>
      </c>
      <c r="O55" t="s">
        <v>29</v>
      </c>
      <c r="P55">
        <v>10</v>
      </c>
      <c r="Q55">
        <v>727</v>
      </c>
      <c r="R55">
        <v>27</v>
      </c>
      <c r="S55">
        <v>9.1668491485971497</v>
      </c>
      <c r="T55" t="s">
        <v>30</v>
      </c>
      <c r="U55">
        <v>2.1224716191438202</v>
      </c>
      <c r="V55" t="s">
        <v>40</v>
      </c>
      <c r="W55" t="s">
        <v>41</v>
      </c>
      <c r="X55">
        <v>602.89849883838303</v>
      </c>
    </row>
    <row r="56" spans="1:24">
      <c r="A56" t="s">
        <v>33</v>
      </c>
      <c r="B56" t="s">
        <v>107</v>
      </c>
      <c r="C56">
        <v>30.3414707112142</v>
      </c>
      <c r="D56">
        <v>93</v>
      </c>
      <c r="E56">
        <v>242</v>
      </c>
      <c r="F56">
        <v>8232.3348294258194</v>
      </c>
      <c r="G56" t="s">
        <v>55</v>
      </c>
      <c r="H56">
        <v>96</v>
      </c>
      <c r="I56">
        <v>25</v>
      </c>
      <c r="J56">
        <v>54</v>
      </c>
      <c r="K56">
        <v>3</v>
      </c>
      <c r="L56" t="s">
        <v>27</v>
      </c>
      <c r="M56">
        <v>1.0134865660958901</v>
      </c>
      <c r="N56" t="s">
        <v>39</v>
      </c>
      <c r="O56" t="s">
        <v>50</v>
      </c>
      <c r="P56">
        <v>1</v>
      </c>
      <c r="Q56">
        <v>631</v>
      </c>
      <c r="R56">
        <v>17</v>
      </c>
      <c r="S56">
        <v>83.344058991677898</v>
      </c>
      <c r="T56" t="s">
        <v>30</v>
      </c>
      <c r="U56">
        <v>1.41034757607602</v>
      </c>
      <c r="V56" t="s">
        <v>40</v>
      </c>
      <c r="W56" t="s">
        <v>32</v>
      </c>
      <c r="X56">
        <v>750.73784066827</v>
      </c>
    </row>
    <row r="57" spans="1:24">
      <c r="A57" t="s">
        <v>24</v>
      </c>
      <c r="B57" t="s">
        <v>108</v>
      </c>
      <c r="C57">
        <v>31.1462431602408</v>
      </c>
      <c r="D57">
        <v>11</v>
      </c>
      <c r="E57">
        <v>622</v>
      </c>
      <c r="F57">
        <v>6088.0214799408504</v>
      </c>
      <c r="G57" t="s">
        <v>26</v>
      </c>
      <c r="H57">
        <v>33</v>
      </c>
      <c r="I57">
        <v>22</v>
      </c>
      <c r="J57">
        <v>61</v>
      </c>
      <c r="K57">
        <v>3</v>
      </c>
      <c r="L57" t="s">
        <v>27</v>
      </c>
      <c r="M57">
        <v>4.3051034712876302</v>
      </c>
      <c r="N57" t="s">
        <v>39</v>
      </c>
      <c r="O57" t="s">
        <v>45</v>
      </c>
      <c r="P57">
        <v>26</v>
      </c>
      <c r="Q57">
        <v>497</v>
      </c>
      <c r="R57">
        <v>29</v>
      </c>
      <c r="S57">
        <v>30.186023375822501</v>
      </c>
      <c r="T57" t="s">
        <v>64</v>
      </c>
      <c r="U57">
        <v>2.4787719755397402</v>
      </c>
      <c r="V57" t="s">
        <v>31</v>
      </c>
      <c r="W57" t="s">
        <v>32</v>
      </c>
      <c r="X57">
        <v>814.06999658218695</v>
      </c>
    </row>
    <row r="58" spans="1:24">
      <c r="A58" t="s">
        <v>24</v>
      </c>
      <c r="B58" t="s">
        <v>109</v>
      </c>
      <c r="C58">
        <v>79.855058340789398</v>
      </c>
      <c r="D58">
        <v>16</v>
      </c>
      <c r="E58">
        <v>701</v>
      </c>
      <c r="F58">
        <v>2925.6751703038099</v>
      </c>
      <c r="G58" t="s">
        <v>55</v>
      </c>
      <c r="H58">
        <v>97</v>
      </c>
      <c r="I58">
        <v>11</v>
      </c>
      <c r="J58">
        <v>11</v>
      </c>
      <c r="K58">
        <v>5</v>
      </c>
      <c r="L58" t="s">
        <v>36</v>
      </c>
      <c r="M58">
        <v>5.0143649550309002</v>
      </c>
      <c r="N58" t="s">
        <v>61</v>
      </c>
      <c r="O58" t="s">
        <v>50</v>
      </c>
      <c r="P58">
        <v>27</v>
      </c>
      <c r="Q58">
        <v>918</v>
      </c>
      <c r="R58">
        <v>5</v>
      </c>
      <c r="S58">
        <v>30.323545256616502</v>
      </c>
      <c r="T58" t="s">
        <v>46</v>
      </c>
      <c r="U58">
        <v>4.5489196593963799</v>
      </c>
      <c r="V58" t="s">
        <v>56</v>
      </c>
      <c r="W58" t="s">
        <v>32</v>
      </c>
      <c r="X58">
        <v>323.01292795247798</v>
      </c>
    </row>
    <row r="59" spans="1:24">
      <c r="A59" t="s">
        <v>33</v>
      </c>
      <c r="B59" t="s">
        <v>110</v>
      </c>
      <c r="C59">
        <v>20.9863860370433</v>
      </c>
      <c r="D59">
        <v>90</v>
      </c>
      <c r="E59">
        <v>93</v>
      </c>
      <c r="F59">
        <v>4767.0204843441297</v>
      </c>
      <c r="G59" t="s">
        <v>26</v>
      </c>
      <c r="H59">
        <v>25</v>
      </c>
      <c r="I59">
        <v>23</v>
      </c>
      <c r="J59">
        <v>83</v>
      </c>
      <c r="K59">
        <v>5</v>
      </c>
      <c r="L59" t="s">
        <v>43</v>
      </c>
      <c r="M59">
        <v>1.77442971407173</v>
      </c>
      <c r="N59" t="s">
        <v>39</v>
      </c>
      <c r="O59" t="s">
        <v>29</v>
      </c>
      <c r="P59">
        <v>24</v>
      </c>
      <c r="Q59">
        <v>826</v>
      </c>
      <c r="R59">
        <v>28</v>
      </c>
      <c r="S59">
        <v>12.8362845728327</v>
      </c>
      <c r="T59" t="s">
        <v>64</v>
      </c>
      <c r="U59">
        <v>1.1737554953874501</v>
      </c>
      <c r="V59" t="s">
        <v>40</v>
      </c>
      <c r="W59" t="s">
        <v>32</v>
      </c>
      <c r="X59">
        <v>832.210808706021</v>
      </c>
    </row>
    <row r="60" spans="1:24">
      <c r="A60" t="s">
        <v>24</v>
      </c>
      <c r="B60" t="s">
        <v>111</v>
      </c>
      <c r="C60">
        <v>49.263205350734097</v>
      </c>
      <c r="D60">
        <v>65</v>
      </c>
      <c r="E60">
        <v>227</v>
      </c>
      <c r="F60">
        <v>1605.8669003924001</v>
      </c>
      <c r="G60" t="s">
        <v>38</v>
      </c>
      <c r="H60">
        <v>5</v>
      </c>
      <c r="I60">
        <v>18</v>
      </c>
      <c r="J60">
        <v>51</v>
      </c>
      <c r="K60">
        <v>1</v>
      </c>
      <c r="L60" t="s">
        <v>27</v>
      </c>
      <c r="M60">
        <v>9.1605585353818704</v>
      </c>
      <c r="N60" t="s">
        <v>61</v>
      </c>
      <c r="O60" t="s">
        <v>50</v>
      </c>
      <c r="P60">
        <v>21</v>
      </c>
      <c r="Q60">
        <v>588</v>
      </c>
      <c r="R60">
        <v>25</v>
      </c>
      <c r="S60">
        <v>67.779622987078099</v>
      </c>
      <c r="T60" t="s">
        <v>30</v>
      </c>
      <c r="U60">
        <v>2.5111748302126999</v>
      </c>
      <c r="V60" t="s">
        <v>47</v>
      </c>
      <c r="W60" t="s">
        <v>48</v>
      </c>
      <c r="X60">
        <v>482.19123860252802</v>
      </c>
    </row>
    <row r="61" spans="1:24">
      <c r="A61" t="s">
        <v>33</v>
      </c>
      <c r="B61" t="s">
        <v>112</v>
      </c>
      <c r="C61">
        <v>59.841561377289302</v>
      </c>
      <c r="D61">
        <v>81</v>
      </c>
      <c r="E61">
        <v>896</v>
      </c>
      <c r="F61">
        <v>2021.1498103371</v>
      </c>
      <c r="G61" t="s">
        <v>26</v>
      </c>
      <c r="H61">
        <v>10</v>
      </c>
      <c r="I61">
        <v>5</v>
      </c>
      <c r="J61">
        <v>44</v>
      </c>
      <c r="K61">
        <v>7</v>
      </c>
      <c r="L61" t="s">
        <v>36</v>
      </c>
      <c r="M61">
        <v>4.9384385647120901</v>
      </c>
      <c r="N61" t="s">
        <v>28</v>
      </c>
      <c r="O61" t="s">
        <v>50</v>
      </c>
      <c r="P61">
        <v>18</v>
      </c>
      <c r="Q61">
        <v>396</v>
      </c>
      <c r="R61">
        <v>7</v>
      </c>
      <c r="S61">
        <v>65.047415094691402</v>
      </c>
      <c r="T61" t="s">
        <v>46</v>
      </c>
      <c r="U61">
        <v>1.7303747198591899</v>
      </c>
      <c r="V61" t="s">
        <v>31</v>
      </c>
      <c r="W61" t="s">
        <v>32</v>
      </c>
      <c r="X61">
        <v>110.364335231364</v>
      </c>
    </row>
    <row r="62" spans="1:24">
      <c r="A62" t="s">
        <v>57</v>
      </c>
      <c r="B62" t="s">
        <v>113</v>
      </c>
      <c r="C62">
        <v>63.828398347710902</v>
      </c>
      <c r="D62">
        <v>30</v>
      </c>
      <c r="E62">
        <v>484</v>
      </c>
      <c r="F62">
        <v>1061.6185230132801</v>
      </c>
      <c r="G62" t="s">
        <v>26</v>
      </c>
      <c r="H62">
        <v>100</v>
      </c>
      <c r="I62">
        <v>16</v>
      </c>
      <c r="J62">
        <v>26</v>
      </c>
      <c r="K62">
        <v>7</v>
      </c>
      <c r="L62" t="s">
        <v>27</v>
      </c>
      <c r="M62">
        <v>7.2937225968677204</v>
      </c>
      <c r="N62" t="s">
        <v>39</v>
      </c>
      <c r="O62" t="s">
        <v>45</v>
      </c>
      <c r="P62">
        <v>11</v>
      </c>
      <c r="Q62">
        <v>176</v>
      </c>
      <c r="R62">
        <v>4</v>
      </c>
      <c r="S62">
        <v>1.90076224351945</v>
      </c>
      <c r="T62" t="s">
        <v>46</v>
      </c>
      <c r="U62">
        <v>0.44719401546382298</v>
      </c>
      <c r="V62" t="s">
        <v>40</v>
      </c>
      <c r="W62" t="s">
        <v>48</v>
      </c>
      <c r="X62">
        <v>312.57427361009297</v>
      </c>
    </row>
    <row r="63" spans="1:24">
      <c r="A63" t="s">
        <v>33</v>
      </c>
      <c r="B63" t="s">
        <v>114</v>
      </c>
      <c r="C63">
        <v>17.028027920188698</v>
      </c>
      <c r="D63">
        <v>16</v>
      </c>
      <c r="E63">
        <v>380</v>
      </c>
      <c r="F63">
        <v>8864.0843495864301</v>
      </c>
      <c r="G63" t="s">
        <v>35</v>
      </c>
      <c r="H63">
        <v>41</v>
      </c>
      <c r="I63">
        <v>27</v>
      </c>
      <c r="J63">
        <v>72</v>
      </c>
      <c r="K63">
        <v>8</v>
      </c>
      <c r="L63" t="s">
        <v>43</v>
      </c>
      <c r="M63">
        <v>4.3813681581023101</v>
      </c>
      <c r="N63" t="s">
        <v>52</v>
      </c>
      <c r="O63" t="s">
        <v>29</v>
      </c>
      <c r="P63">
        <v>29</v>
      </c>
      <c r="Q63">
        <v>929</v>
      </c>
      <c r="R63">
        <v>24</v>
      </c>
      <c r="S63">
        <v>87.213057815135599</v>
      </c>
      <c r="T63" t="s">
        <v>46</v>
      </c>
      <c r="U63">
        <v>2.8530906166490499</v>
      </c>
      <c r="V63" t="s">
        <v>47</v>
      </c>
      <c r="W63" t="s">
        <v>48</v>
      </c>
      <c r="X63">
        <v>430.16909697513597</v>
      </c>
    </row>
    <row r="64" spans="1:24">
      <c r="A64" t="s">
        <v>24</v>
      </c>
      <c r="B64" t="s">
        <v>115</v>
      </c>
      <c r="C64">
        <v>52.028749903294901</v>
      </c>
      <c r="D64">
        <v>23</v>
      </c>
      <c r="E64">
        <v>117</v>
      </c>
      <c r="F64">
        <v>6885.5893508962499</v>
      </c>
      <c r="G64" t="s">
        <v>38</v>
      </c>
      <c r="H64">
        <v>32</v>
      </c>
      <c r="I64">
        <v>23</v>
      </c>
      <c r="J64">
        <v>36</v>
      </c>
      <c r="K64">
        <v>7</v>
      </c>
      <c r="L64" t="s">
        <v>43</v>
      </c>
      <c r="M64">
        <v>9.0303404225219399</v>
      </c>
      <c r="N64" t="s">
        <v>52</v>
      </c>
      <c r="O64" t="s">
        <v>45</v>
      </c>
      <c r="P64">
        <v>14</v>
      </c>
      <c r="Q64">
        <v>480</v>
      </c>
      <c r="R64">
        <v>12</v>
      </c>
      <c r="S64">
        <v>78.702393968878894</v>
      </c>
      <c r="T64" t="s">
        <v>46</v>
      </c>
      <c r="U64">
        <v>4.3674705382050503</v>
      </c>
      <c r="V64" t="s">
        <v>40</v>
      </c>
      <c r="W64" t="s">
        <v>48</v>
      </c>
      <c r="X64">
        <v>164.366528243419</v>
      </c>
    </row>
    <row r="65" spans="1:24">
      <c r="A65" t="s">
        <v>57</v>
      </c>
      <c r="B65" t="s">
        <v>116</v>
      </c>
      <c r="C65">
        <v>72.796353955587307</v>
      </c>
      <c r="D65">
        <v>89</v>
      </c>
      <c r="E65">
        <v>270</v>
      </c>
      <c r="F65">
        <v>3899.7468337292198</v>
      </c>
      <c r="G65" t="s">
        <v>38</v>
      </c>
      <c r="H65">
        <v>86</v>
      </c>
      <c r="I65">
        <v>2</v>
      </c>
      <c r="J65">
        <v>40</v>
      </c>
      <c r="K65">
        <v>7</v>
      </c>
      <c r="L65" t="s">
        <v>43</v>
      </c>
      <c r="M65">
        <v>7.2917013887767697</v>
      </c>
      <c r="N65" t="s">
        <v>61</v>
      </c>
      <c r="O65" t="s">
        <v>29</v>
      </c>
      <c r="P65">
        <v>13</v>
      </c>
      <c r="Q65">
        <v>751</v>
      </c>
      <c r="R65">
        <v>14</v>
      </c>
      <c r="S65">
        <v>21.048642725168602</v>
      </c>
      <c r="T65" t="s">
        <v>64</v>
      </c>
      <c r="U65">
        <v>1.87400140404437</v>
      </c>
      <c r="V65" t="s">
        <v>56</v>
      </c>
      <c r="W65" t="s">
        <v>41</v>
      </c>
      <c r="X65">
        <v>320.84651575911101</v>
      </c>
    </row>
    <row r="66" spans="1:24">
      <c r="A66" t="s">
        <v>33</v>
      </c>
      <c r="B66" t="s">
        <v>117</v>
      </c>
      <c r="C66">
        <v>13.0173767852878</v>
      </c>
      <c r="D66">
        <v>55</v>
      </c>
      <c r="E66">
        <v>246</v>
      </c>
      <c r="F66">
        <v>4256.9491408502199</v>
      </c>
      <c r="G66" t="s">
        <v>26</v>
      </c>
      <c r="H66">
        <v>54</v>
      </c>
      <c r="I66">
        <v>19</v>
      </c>
      <c r="J66">
        <v>10</v>
      </c>
      <c r="K66">
        <v>4</v>
      </c>
      <c r="L66" t="s">
        <v>36</v>
      </c>
      <c r="M66">
        <v>2.45793352798733</v>
      </c>
      <c r="N66" t="s">
        <v>28</v>
      </c>
      <c r="O66" t="s">
        <v>53</v>
      </c>
      <c r="P66">
        <v>18</v>
      </c>
      <c r="Q66">
        <v>736</v>
      </c>
      <c r="R66">
        <v>10</v>
      </c>
      <c r="S66">
        <v>20.075003975630398</v>
      </c>
      <c r="T66" t="s">
        <v>30</v>
      </c>
      <c r="U66">
        <v>3.6328432903821302</v>
      </c>
      <c r="V66" t="s">
        <v>56</v>
      </c>
      <c r="W66" t="s">
        <v>48</v>
      </c>
      <c r="X66">
        <v>687.28617786641701</v>
      </c>
    </row>
    <row r="67" spans="1:24">
      <c r="A67" t="s">
        <v>33</v>
      </c>
      <c r="B67" t="s">
        <v>118</v>
      </c>
      <c r="C67">
        <v>89.634095608135297</v>
      </c>
      <c r="D67">
        <v>11</v>
      </c>
      <c r="E67">
        <v>134</v>
      </c>
      <c r="F67">
        <v>8458.7308783671706</v>
      </c>
      <c r="G67" t="s">
        <v>35</v>
      </c>
      <c r="H67">
        <v>73</v>
      </c>
      <c r="I67">
        <v>27</v>
      </c>
      <c r="J67">
        <v>75</v>
      </c>
      <c r="K67">
        <v>6</v>
      </c>
      <c r="L67" t="s">
        <v>43</v>
      </c>
      <c r="M67">
        <v>4.5853534681946497</v>
      </c>
      <c r="N67" t="s">
        <v>39</v>
      </c>
      <c r="O67" t="s">
        <v>50</v>
      </c>
      <c r="P67">
        <v>17</v>
      </c>
      <c r="Q67">
        <v>328</v>
      </c>
      <c r="R67">
        <v>6</v>
      </c>
      <c r="S67">
        <v>8.6930424258772803</v>
      </c>
      <c r="T67" t="s">
        <v>46</v>
      </c>
      <c r="U67">
        <v>0.15948631471751401</v>
      </c>
      <c r="V67" t="s">
        <v>40</v>
      </c>
      <c r="W67" t="s">
        <v>41</v>
      </c>
      <c r="X67">
        <v>771.225084681157</v>
      </c>
    </row>
    <row r="68" spans="1:24">
      <c r="A68" t="s">
        <v>33</v>
      </c>
      <c r="B68" t="s">
        <v>119</v>
      </c>
      <c r="C68">
        <v>33.697717206643098</v>
      </c>
      <c r="D68">
        <v>72</v>
      </c>
      <c r="E68">
        <v>457</v>
      </c>
      <c r="F68">
        <v>8354.5796864819895</v>
      </c>
      <c r="G68" t="s">
        <v>55</v>
      </c>
      <c r="H68">
        <v>57</v>
      </c>
      <c r="I68">
        <v>24</v>
      </c>
      <c r="J68">
        <v>54</v>
      </c>
      <c r="K68">
        <v>8</v>
      </c>
      <c r="L68" t="s">
        <v>43</v>
      </c>
      <c r="M68">
        <v>6.5805413478845898</v>
      </c>
      <c r="N68" t="s">
        <v>44</v>
      </c>
      <c r="O68" t="s">
        <v>45</v>
      </c>
      <c r="P68">
        <v>16</v>
      </c>
      <c r="Q68">
        <v>358</v>
      </c>
      <c r="R68">
        <v>21</v>
      </c>
      <c r="S68">
        <v>1.59722274305067</v>
      </c>
      <c r="T68" t="s">
        <v>46</v>
      </c>
      <c r="U68">
        <v>4.9110959548423301</v>
      </c>
      <c r="V68" t="s">
        <v>47</v>
      </c>
      <c r="W68" t="s">
        <v>41</v>
      </c>
      <c r="X68">
        <v>555.85910367174301</v>
      </c>
    </row>
    <row r="69" spans="1:24">
      <c r="A69" t="s">
        <v>33</v>
      </c>
      <c r="B69" t="s">
        <v>120</v>
      </c>
      <c r="C69">
        <v>26.034869773962001</v>
      </c>
      <c r="D69">
        <v>52</v>
      </c>
      <c r="E69">
        <v>704</v>
      </c>
      <c r="F69">
        <v>8367.7216180201503</v>
      </c>
      <c r="G69" t="s">
        <v>35</v>
      </c>
      <c r="H69">
        <v>13</v>
      </c>
      <c r="I69">
        <v>17</v>
      </c>
      <c r="J69">
        <v>19</v>
      </c>
      <c r="K69">
        <v>8</v>
      </c>
      <c r="L69" t="s">
        <v>36</v>
      </c>
      <c r="M69">
        <v>2.2161427287713602</v>
      </c>
      <c r="N69" t="s">
        <v>44</v>
      </c>
      <c r="O69" t="s">
        <v>45</v>
      </c>
      <c r="P69">
        <v>24</v>
      </c>
      <c r="Q69">
        <v>867</v>
      </c>
      <c r="R69">
        <v>28</v>
      </c>
      <c r="S69">
        <v>42.084436738309897</v>
      </c>
      <c r="T69" t="s">
        <v>46</v>
      </c>
      <c r="U69">
        <v>3.44806328834026</v>
      </c>
      <c r="V69" t="s">
        <v>31</v>
      </c>
      <c r="W69" t="s">
        <v>48</v>
      </c>
      <c r="X69">
        <v>393.84334857842703</v>
      </c>
    </row>
    <row r="70" spans="1:24">
      <c r="A70" t="s">
        <v>33</v>
      </c>
      <c r="B70" t="s">
        <v>121</v>
      </c>
      <c r="C70">
        <v>87.755432354001002</v>
      </c>
      <c r="D70">
        <v>16</v>
      </c>
      <c r="E70">
        <v>513</v>
      </c>
      <c r="F70">
        <v>9473.7980325083299</v>
      </c>
      <c r="G70" t="s">
        <v>38</v>
      </c>
      <c r="H70">
        <v>12</v>
      </c>
      <c r="I70">
        <v>9</v>
      </c>
      <c r="J70">
        <v>71</v>
      </c>
      <c r="K70">
        <v>9</v>
      </c>
      <c r="L70" t="s">
        <v>43</v>
      </c>
      <c r="M70">
        <v>9.1478115447106294</v>
      </c>
      <c r="N70" t="s">
        <v>39</v>
      </c>
      <c r="O70" t="s">
        <v>29</v>
      </c>
      <c r="P70">
        <v>10</v>
      </c>
      <c r="Q70">
        <v>198</v>
      </c>
      <c r="R70">
        <v>11</v>
      </c>
      <c r="S70">
        <v>7.0578761469782298</v>
      </c>
      <c r="T70" t="s">
        <v>64</v>
      </c>
      <c r="U70">
        <v>0.131955444311814</v>
      </c>
      <c r="V70" t="s">
        <v>56</v>
      </c>
      <c r="W70" t="s">
        <v>41</v>
      </c>
      <c r="X70">
        <v>169.27180138478599</v>
      </c>
    </row>
    <row r="71" spans="1:24">
      <c r="A71" t="s">
        <v>24</v>
      </c>
      <c r="B71" t="s">
        <v>122</v>
      </c>
      <c r="C71">
        <v>37.931812382790298</v>
      </c>
      <c r="D71">
        <v>29</v>
      </c>
      <c r="E71">
        <v>163</v>
      </c>
      <c r="F71">
        <v>3550.21843278099</v>
      </c>
      <c r="G71" t="s">
        <v>26</v>
      </c>
      <c r="H71">
        <v>0</v>
      </c>
      <c r="I71">
        <v>8</v>
      </c>
      <c r="J71">
        <v>58</v>
      </c>
      <c r="K71">
        <v>8</v>
      </c>
      <c r="L71" t="s">
        <v>27</v>
      </c>
      <c r="M71">
        <v>1.19425186488499</v>
      </c>
      <c r="N71" t="s">
        <v>61</v>
      </c>
      <c r="O71" t="s">
        <v>53</v>
      </c>
      <c r="P71">
        <v>2</v>
      </c>
      <c r="Q71">
        <v>375</v>
      </c>
      <c r="R71">
        <v>18</v>
      </c>
      <c r="S71">
        <v>97.113581563462205</v>
      </c>
      <c r="T71" t="s">
        <v>46</v>
      </c>
      <c r="U71">
        <v>1.9834678721741801</v>
      </c>
      <c r="V71" t="s">
        <v>47</v>
      </c>
      <c r="W71" t="s">
        <v>48</v>
      </c>
      <c r="X71">
        <v>299.70630311810299</v>
      </c>
    </row>
    <row r="72" spans="1:24">
      <c r="A72" t="s">
        <v>33</v>
      </c>
      <c r="B72" t="s">
        <v>123</v>
      </c>
      <c r="C72">
        <v>54.865528517069698</v>
      </c>
      <c r="D72">
        <v>62</v>
      </c>
      <c r="E72">
        <v>511</v>
      </c>
      <c r="F72">
        <v>1752.3810874841199</v>
      </c>
      <c r="G72" t="s">
        <v>26</v>
      </c>
      <c r="H72">
        <v>95</v>
      </c>
      <c r="I72">
        <v>1</v>
      </c>
      <c r="J72">
        <v>27</v>
      </c>
      <c r="K72">
        <v>3</v>
      </c>
      <c r="L72" t="s">
        <v>27</v>
      </c>
      <c r="M72">
        <v>9.7052867901203399</v>
      </c>
      <c r="N72" t="s">
        <v>52</v>
      </c>
      <c r="O72" t="s">
        <v>45</v>
      </c>
      <c r="P72">
        <v>9</v>
      </c>
      <c r="Q72">
        <v>862</v>
      </c>
      <c r="R72">
        <v>7</v>
      </c>
      <c r="S72">
        <v>77.627765812748095</v>
      </c>
      <c r="T72" t="s">
        <v>30</v>
      </c>
      <c r="U72">
        <v>1.3623879886490999</v>
      </c>
      <c r="V72" t="s">
        <v>40</v>
      </c>
      <c r="W72" t="s">
        <v>48</v>
      </c>
      <c r="X72">
        <v>207.66320620857499</v>
      </c>
    </row>
    <row r="73" spans="1:24">
      <c r="A73" t="s">
        <v>24</v>
      </c>
      <c r="B73" t="s">
        <v>124</v>
      </c>
      <c r="C73">
        <v>47.914541824058702</v>
      </c>
      <c r="D73">
        <v>90</v>
      </c>
      <c r="E73">
        <v>32</v>
      </c>
      <c r="F73">
        <v>7014.8879872033804</v>
      </c>
      <c r="G73" t="s">
        <v>35</v>
      </c>
      <c r="H73">
        <v>10</v>
      </c>
      <c r="I73">
        <v>12</v>
      </c>
      <c r="J73">
        <v>22</v>
      </c>
      <c r="K73">
        <v>4</v>
      </c>
      <c r="L73" t="s">
        <v>27</v>
      </c>
      <c r="M73">
        <v>6.3157177546007199</v>
      </c>
      <c r="N73" t="s">
        <v>39</v>
      </c>
      <c r="O73" t="s">
        <v>53</v>
      </c>
      <c r="P73">
        <v>22</v>
      </c>
      <c r="Q73">
        <v>775</v>
      </c>
      <c r="R73">
        <v>16</v>
      </c>
      <c r="S73">
        <v>11.440781823761199</v>
      </c>
      <c r="T73" t="s">
        <v>64</v>
      </c>
      <c r="U73">
        <v>1.8305755986122301</v>
      </c>
      <c r="V73" t="s">
        <v>31</v>
      </c>
      <c r="W73" t="s">
        <v>41</v>
      </c>
      <c r="X73">
        <v>183.27289874871099</v>
      </c>
    </row>
    <row r="74" spans="1:24">
      <c r="A74" t="s">
        <v>57</v>
      </c>
      <c r="B74" t="s">
        <v>125</v>
      </c>
      <c r="C74">
        <v>6.3815331627479601</v>
      </c>
      <c r="D74">
        <v>14</v>
      </c>
      <c r="E74">
        <v>637</v>
      </c>
      <c r="F74">
        <v>8180.3370854254399</v>
      </c>
      <c r="G74" t="s">
        <v>35</v>
      </c>
      <c r="H74">
        <v>76</v>
      </c>
      <c r="I74">
        <v>2</v>
      </c>
      <c r="J74">
        <v>26</v>
      </c>
      <c r="K74">
        <v>6</v>
      </c>
      <c r="L74" t="s">
        <v>36</v>
      </c>
      <c r="M74">
        <v>9.2281903170525101</v>
      </c>
      <c r="N74" t="s">
        <v>61</v>
      </c>
      <c r="O74" t="s">
        <v>53</v>
      </c>
      <c r="P74">
        <v>2</v>
      </c>
      <c r="Q74">
        <v>258</v>
      </c>
      <c r="R74">
        <v>10</v>
      </c>
      <c r="S74">
        <v>30.661677477859499</v>
      </c>
      <c r="T74" t="s">
        <v>30</v>
      </c>
      <c r="U74">
        <v>2.07875060787496</v>
      </c>
      <c r="V74" t="s">
        <v>31</v>
      </c>
      <c r="W74" t="s">
        <v>48</v>
      </c>
      <c r="X74">
        <v>405.167067888855</v>
      </c>
    </row>
    <row r="75" spans="1:24">
      <c r="A75" t="s">
        <v>57</v>
      </c>
      <c r="B75" t="s">
        <v>126</v>
      </c>
      <c r="C75">
        <v>90.204427520528</v>
      </c>
      <c r="D75">
        <v>88</v>
      </c>
      <c r="E75">
        <v>478</v>
      </c>
      <c r="F75">
        <v>2633.1219813122498</v>
      </c>
      <c r="G75" t="s">
        <v>26</v>
      </c>
      <c r="H75">
        <v>57</v>
      </c>
      <c r="I75">
        <v>29</v>
      </c>
      <c r="J75">
        <v>77</v>
      </c>
      <c r="K75">
        <v>9</v>
      </c>
      <c r="L75" t="s">
        <v>36</v>
      </c>
      <c r="M75">
        <v>6.5996141596895397</v>
      </c>
      <c r="N75" t="s">
        <v>39</v>
      </c>
      <c r="O75" t="s">
        <v>53</v>
      </c>
      <c r="P75">
        <v>21</v>
      </c>
      <c r="Q75">
        <v>152</v>
      </c>
      <c r="R75">
        <v>11</v>
      </c>
      <c r="S75">
        <v>55.760492895244198</v>
      </c>
      <c r="T75" t="s">
        <v>30</v>
      </c>
      <c r="U75">
        <v>3.2133296074383</v>
      </c>
      <c r="V75" t="s">
        <v>47</v>
      </c>
      <c r="W75" t="s">
        <v>32</v>
      </c>
      <c r="X75">
        <v>677.94456984618296</v>
      </c>
    </row>
    <row r="76" spans="1:24">
      <c r="A76" t="s">
        <v>57</v>
      </c>
      <c r="B76" t="s">
        <v>127</v>
      </c>
      <c r="C76">
        <v>83.851017681304597</v>
      </c>
      <c r="D76">
        <v>41</v>
      </c>
      <c r="E76">
        <v>375</v>
      </c>
      <c r="F76">
        <v>7910.8869161406801</v>
      </c>
      <c r="G76" t="s">
        <v>55</v>
      </c>
      <c r="H76">
        <v>17</v>
      </c>
      <c r="I76">
        <v>25</v>
      </c>
      <c r="J76">
        <v>66</v>
      </c>
      <c r="K76">
        <v>5</v>
      </c>
      <c r="L76" t="s">
        <v>27</v>
      </c>
      <c r="M76">
        <v>1.5129368369160701</v>
      </c>
      <c r="N76" t="s">
        <v>52</v>
      </c>
      <c r="O76" t="s">
        <v>62</v>
      </c>
      <c r="P76">
        <v>13</v>
      </c>
      <c r="Q76">
        <v>444</v>
      </c>
      <c r="R76">
        <v>4</v>
      </c>
      <c r="S76">
        <v>46.870238797617098</v>
      </c>
      <c r="T76" t="s">
        <v>46</v>
      </c>
      <c r="U76">
        <v>4.6205460645137002</v>
      </c>
      <c r="V76" t="s">
        <v>31</v>
      </c>
      <c r="W76" t="s">
        <v>48</v>
      </c>
      <c r="X76">
        <v>866.472800129657</v>
      </c>
    </row>
    <row r="77" spans="1:24">
      <c r="A77" t="s">
        <v>24</v>
      </c>
      <c r="B77" t="s">
        <v>128</v>
      </c>
      <c r="C77">
        <v>3.1700114135661499</v>
      </c>
      <c r="D77">
        <v>64</v>
      </c>
      <c r="E77">
        <v>904</v>
      </c>
      <c r="F77">
        <v>5709.9452959692799</v>
      </c>
      <c r="G77" t="s">
        <v>35</v>
      </c>
      <c r="H77">
        <v>41</v>
      </c>
      <c r="I77">
        <v>6</v>
      </c>
      <c r="J77">
        <v>1</v>
      </c>
      <c r="K77">
        <v>5</v>
      </c>
      <c r="L77" t="s">
        <v>36</v>
      </c>
      <c r="M77">
        <v>5.2376546500374399</v>
      </c>
      <c r="N77" t="s">
        <v>52</v>
      </c>
      <c r="O77" t="s">
        <v>50</v>
      </c>
      <c r="P77">
        <v>1</v>
      </c>
      <c r="Q77">
        <v>919</v>
      </c>
      <c r="R77">
        <v>9</v>
      </c>
      <c r="S77">
        <v>80.580852156447804</v>
      </c>
      <c r="T77" t="s">
        <v>46</v>
      </c>
      <c r="U77">
        <v>0.39661272410993498</v>
      </c>
      <c r="V77" t="s">
        <v>47</v>
      </c>
      <c r="W77" t="s">
        <v>48</v>
      </c>
      <c r="X77">
        <v>341.55265678322297</v>
      </c>
    </row>
    <row r="78" spans="1:24">
      <c r="A78" t="s">
        <v>33</v>
      </c>
      <c r="B78" t="s">
        <v>129</v>
      </c>
      <c r="C78">
        <v>92.996884233970604</v>
      </c>
      <c r="D78">
        <v>29</v>
      </c>
      <c r="E78">
        <v>106</v>
      </c>
      <c r="F78">
        <v>1889.07358977933</v>
      </c>
      <c r="G78" t="s">
        <v>26</v>
      </c>
      <c r="H78">
        <v>16</v>
      </c>
      <c r="I78">
        <v>20</v>
      </c>
      <c r="J78">
        <v>56</v>
      </c>
      <c r="K78">
        <v>10</v>
      </c>
      <c r="L78" t="s">
        <v>43</v>
      </c>
      <c r="M78">
        <v>2.47389776104546</v>
      </c>
      <c r="N78" t="s">
        <v>39</v>
      </c>
      <c r="O78" t="s">
        <v>62</v>
      </c>
      <c r="P78">
        <v>25</v>
      </c>
      <c r="Q78">
        <v>759</v>
      </c>
      <c r="R78">
        <v>11</v>
      </c>
      <c r="S78">
        <v>48.064782640006499</v>
      </c>
      <c r="T78" t="s">
        <v>64</v>
      </c>
      <c r="U78">
        <v>2.0300690886687498</v>
      </c>
      <c r="V78" t="s">
        <v>40</v>
      </c>
      <c r="W78" t="s">
        <v>41</v>
      </c>
      <c r="X78">
        <v>873.12964801765099</v>
      </c>
    </row>
    <row r="79" spans="1:24">
      <c r="A79" t="s">
        <v>24</v>
      </c>
      <c r="B79" t="s">
        <v>130</v>
      </c>
      <c r="C79">
        <v>69.108799547430294</v>
      </c>
      <c r="D79">
        <v>23</v>
      </c>
      <c r="E79">
        <v>241</v>
      </c>
      <c r="F79">
        <v>5328.3759842977497</v>
      </c>
      <c r="G79" t="s">
        <v>55</v>
      </c>
      <c r="H79">
        <v>38</v>
      </c>
      <c r="I79">
        <v>1</v>
      </c>
      <c r="J79">
        <v>22</v>
      </c>
      <c r="K79">
        <v>10</v>
      </c>
      <c r="L79" t="s">
        <v>36</v>
      </c>
      <c r="M79">
        <v>7.0545383368369201</v>
      </c>
      <c r="N79" t="s">
        <v>61</v>
      </c>
      <c r="O79" t="s">
        <v>53</v>
      </c>
      <c r="P79">
        <v>25</v>
      </c>
      <c r="Q79">
        <v>985</v>
      </c>
      <c r="R79">
        <v>24</v>
      </c>
      <c r="S79">
        <v>64.323597795600193</v>
      </c>
      <c r="T79" t="s">
        <v>30</v>
      </c>
      <c r="U79">
        <v>2.1800374515822099</v>
      </c>
      <c r="V79" t="s">
        <v>47</v>
      </c>
      <c r="W79" t="s">
        <v>48</v>
      </c>
      <c r="X79">
        <v>997.41345013319403</v>
      </c>
    </row>
    <row r="80" spans="1:24">
      <c r="A80" t="s">
        <v>24</v>
      </c>
      <c r="B80" t="s">
        <v>131</v>
      </c>
      <c r="C80">
        <v>57.449742958971399</v>
      </c>
      <c r="D80">
        <v>14</v>
      </c>
      <c r="E80">
        <v>359</v>
      </c>
      <c r="F80">
        <v>2483.7601775427902</v>
      </c>
      <c r="G80" t="s">
        <v>38</v>
      </c>
      <c r="H80">
        <v>96</v>
      </c>
      <c r="I80">
        <v>28</v>
      </c>
      <c r="J80">
        <v>57</v>
      </c>
      <c r="K80">
        <v>4</v>
      </c>
      <c r="L80" t="s">
        <v>27</v>
      </c>
      <c r="M80">
        <v>6.7809466256178901</v>
      </c>
      <c r="N80" t="s">
        <v>39</v>
      </c>
      <c r="O80" t="s">
        <v>45</v>
      </c>
      <c r="P80">
        <v>26</v>
      </c>
      <c r="Q80">
        <v>334</v>
      </c>
      <c r="R80">
        <v>5</v>
      </c>
      <c r="S80">
        <v>42.952444748991802</v>
      </c>
      <c r="T80" t="s">
        <v>64</v>
      </c>
      <c r="U80">
        <v>3.0551418183075398</v>
      </c>
      <c r="V80" t="s">
        <v>31</v>
      </c>
      <c r="W80" t="s">
        <v>32</v>
      </c>
      <c r="X80">
        <v>852.56809891984994</v>
      </c>
    </row>
    <row r="81" spans="1:24">
      <c r="A81" t="s">
        <v>24</v>
      </c>
      <c r="B81" t="s">
        <v>132</v>
      </c>
      <c r="C81">
        <v>6.30688317611191</v>
      </c>
      <c r="D81">
        <v>50</v>
      </c>
      <c r="E81">
        <v>946</v>
      </c>
      <c r="F81">
        <v>1292.45841793775</v>
      </c>
      <c r="G81" t="s">
        <v>38</v>
      </c>
      <c r="H81">
        <v>5</v>
      </c>
      <c r="I81">
        <v>4</v>
      </c>
      <c r="J81">
        <v>51</v>
      </c>
      <c r="K81">
        <v>5</v>
      </c>
      <c r="L81" t="s">
        <v>27</v>
      </c>
      <c r="M81">
        <v>8.4670497708619905</v>
      </c>
      <c r="N81" t="s">
        <v>44</v>
      </c>
      <c r="O81" t="s">
        <v>29</v>
      </c>
      <c r="P81">
        <v>25</v>
      </c>
      <c r="Q81">
        <v>858</v>
      </c>
      <c r="R81">
        <v>21</v>
      </c>
      <c r="S81">
        <v>71.126514720403307</v>
      </c>
      <c r="T81" t="s">
        <v>30</v>
      </c>
      <c r="U81">
        <v>4.0968813324704501</v>
      </c>
      <c r="V81" t="s">
        <v>56</v>
      </c>
      <c r="W81" t="s">
        <v>41</v>
      </c>
      <c r="X81">
        <v>323.59220343132199</v>
      </c>
    </row>
    <row r="82" spans="1:24">
      <c r="A82" t="s">
        <v>24</v>
      </c>
      <c r="B82" t="s">
        <v>133</v>
      </c>
      <c r="C82">
        <v>57.057031221103202</v>
      </c>
      <c r="D82">
        <v>56</v>
      </c>
      <c r="E82">
        <v>198</v>
      </c>
      <c r="F82">
        <v>7888.7232684270803</v>
      </c>
      <c r="G82" t="s">
        <v>26</v>
      </c>
      <c r="H82">
        <v>31</v>
      </c>
      <c r="I82">
        <v>25</v>
      </c>
      <c r="J82">
        <v>20</v>
      </c>
      <c r="K82">
        <v>1</v>
      </c>
      <c r="L82" t="s">
        <v>27</v>
      </c>
      <c r="M82">
        <v>6.49632536429504</v>
      </c>
      <c r="N82" t="s">
        <v>28</v>
      </c>
      <c r="O82" t="s">
        <v>53</v>
      </c>
      <c r="P82">
        <v>5</v>
      </c>
      <c r="Q82">
        <v>228</v>
      </c>
      <c r="R82">
        <v>12</v>
      </c>
      <c r="S82">
        <v>57.870902924036201</v>
      </c>
      <c r="T82" t="s">
        <v>30</v>
      </c>
      <c r="U82">
        <v>0.16587162748060799</v>
      </c>
      <c r="V82" t="s">
        <v>40</v>
      </c>
      <c r="W82" t="s">
        <v>41</v>
      </c>
      <c r="X82">
        <v>351.50421933503799</v>
      </c>
    </row>
    <row r="83" spans="1:24">
      <c r="A83" t="s">
        <v>33</v>
      </c>
      <c r="B83" t="s">
        <v>134</v>
      </c>
      <c r="C83">
        <v>91.128318350444303</v>
      </c>
      <c r="D83">
        <v>75</v>
      </c>
      <c r="E83">
        <v>872</v>
      </c>
      <c r="F83">
        <v>8651.67268298206</v>
      </c>
      <c r="G83" t="s">
        <v>38</v>
      </c>
      <c r="H83">
        <v>39</v>
      </c>
      <c r="I83">
        <v>14</v>
      </c>
      <c r="J83">
        <v>41</v>
      </c>
      <c r="K83">
        <v>2</v>
      </c>
      <c r="L83" t="s">
        <v>43</v>
      </c>
      <c r="M83">
        <v>2.8331846794189701</v>
      </c>
      <c r="N83" t="s">
        <v>28</v>
      </c>
      <c r="O83" t="s">
        <v>62</v>
      </c>
      <c r="P83">
        <v>8</v>
      </c>
      <c r="Q83">
        <v>202</v>
      </c>
      <c r="R83">
        <v>5</v>
      </c>
      <c r="S83">
        <v>76.961228023819999</v>
      </c>
      <c r="T83" t="s">
        <v>46</v>
      </c>
      <c r="U83">
        <v>2.8496621985053299</v>
      </c>
      <c r="V83" t="s">
        <v>56</v>
      </c>
      <c r="W83" t="s">
        <v>32</v>
      </c>
      <c r="X83">
        <v>787.77985049434403</v>
      </c>
    </row>
    <row r="84" spans="1:24">
      <c r="A84" t="s">
        <v>24</v>
      </c>
      <c r="B84" t="s">
        <v>135</v>
      </c>
      <c r="C84">
        <v>72.819206930318202</v>
      </c>
      <c r="D84">
        <v>9</v>
      </c>
      <c r="E84">
        <v>774</v>
      </c>
      <c r="F84">
        <v>4384.4134000458598</v>
      </c>
      <c r="G84" t="s">
        <v>38</v>
      </c>
      <c r="H84">
        <v>48</v>
      </c>
      <c r="I84">
        <v>6</v>
      </c>
      <c r="J84">
        <v>8</v>
      </c>
      <c r="K84">
        <v>5</v>
      </c>
      <c r="L84" t="s">
        <v>27</v>
      </c>
      <c r="M84">
        <v>4.0662775015120403</v>
      </c>
      <c r="N84" t="s">
        <v>28</v>
      </c>
      <c r="O84" t="s">
        <v>50</v>
      </c>
      <c r="P84">
        <v>28</v>
      </c>
      <c r="Q84">
        <v>698</v>
      </c>
      <c r="R84">
        <v>1</v>
      </c>
      <c r="S84">
        <v>19.789592941903599</v>
      </c>
      <c r="T84" t="s">
        <v>30</v>
      </c>
      <c r="U84">
        <v>2.54754712154871</v>
      </c>
      <c r="V84" t="s">
        <v>47</v>
      </c>
      <c r="W84" t="s">
        <v>32</v>
      </c>
      <c r="X84">
        <v>276.77833594679799</v>
      </c>
    </row>
    <row r="85" spans="1:24">
      <c r="A85" t="s">
        <v>33</v>
      </c>
      <c r="B85" t="s">
        <v>136</v>
      </c>
      <c r="C85">
        <v>17.034930739467899</v>
      </c>
      <c r="D85">
        <v>13</v>
      </c>
      <c r="E85">
        <v>336</v>
      </c>
      <c r="F85">
        <v>2943.3818676094502</v>
      </c>
      <c r="G85" t="s">
        <v>38</v>
      </c>
      <c r="H85">
        <v>42</v>
      </c>
      <c r="I85">
        <v>19</v>
      </c>
      <c r="J85">
        <v>72</v>
      </c>
      <c r="K85">
        <v>1</v>
      </c>
      <c r="L85" t="s">
        <v>36</v>
      </c>
      <c r="M85">
        <v>4.7081818735419301</v>
      </c>
      <c r="N85" t="s">
        <v>61</v>
      </c>
      <c r="O85" t="s">
        <v>29</v>
      </c>
      <c r="P85">
        <v>6</v>
      </c>
      <c r="Q85">
        <v>955</v>
      </c>
      <c r="R85">
        <v>26</v>
      </c>
      <c r="S85">
        <v>4.4652784349432402</v>
      </c>
      <c r="T85" t="s">
        <v>30</v>
      </c>
      <c r="U85">
        <v>4.1378770486223502</v>
      </c>
      <c r="V85" t="s">
        <v>31</v>
      </c>
      <c r="W85" t="s">
        <v>41</v>
      </c>
      <c r="X85">
        <v>589.97855562804</v>
      </c>
    </row>
    <row r="86" spans="1:24">
      <c r="A86" t="s">
        <v>24</v>
      </c>
      <c r="B86" t="s">
        <v>137</v>
      </c>
      <c r="C86">
        <v>68.911246211606297</v>
      </c>
      <c r="D86">
        <v>82</v>
      </c>
      <c r="E86">
        <v>663</v>
      </c>
      <c r="F86">
        <v>2411.7546321104901</v>
      </c>
      <c r="G86" t="s">
        <v>38</v>
      </c>
      <c r="H86">
        <v>65</v>
      </c>
      <c r="I86">
        <v>24</v>
      </c>
      <c r="J86">
        <v>7</v>
      </c>
      <c r="K86">
        <v>8</v>
      </c>
      <c r="L86" t="s">
        <v>27</v>
      </c>
      <c r="M86">
        <v>4.94983957799694</v>
      </c>
      <c r="N86" t="s">
        <v>39</v>
      </c>
      <c r="O86" t="s">
        <v>53</v>
      </c>
      <c r="P86">
        <v>20</v>
      </c>
      <c r="Q86">
        <v>443</v>
      </c>
      <c r="R86">
        <v>5</v>
      </c>
      <c r="S86">
        <v>97.730593800533001</v>
      </c>
      <c r="T86" t="s">
        <v>46</v>
      </c>
      <c r="U86">
        <v>0.77300613406724705</v>
      </c>
      <c r="V86" t="s">
        <v>31</v>
      </c>
      <c r="W86" t="s">
        <v>48</v>
      </c>
      <c r="X86">
        <v>682.97101822609295</v>
      </c>
    </row>
    <row r="87" spans="1:24">
      <c r="A87" t="s">
        <v>24</v>
      </c>
      <c r="B87" t="s">
        <v>138</v>
      </c>
      <c r="C87">
        <v>89.104367292102197</v>
      </c>
      <c r="D87">
        <v>99</v>
      </c>
      <c r="E87">
        <v>618</v>
      </c>
      <c r="F87">
        <v>2048.2900998487098</v>
      </c>
      <c r="G87" t="s">
        <v>38</v>
      </c>
      <c r="H87">
        <v>73</v>
      </c>
      <c r="I87">
        <v>26</v>
      </c>
      <c r="J87">
        <v>80</v>
      </c>
      <c r="K87">
        <v>10</v>
      </c>
      <c r="L87" t="s">
        <v>36</v>
      </c>
      <c r="M87">
        <v>8.3816156249226292</v>
      </c>
      <c r="N87" t="s">
        <v>44</v>
      </c>
      <c r="O87" t="s">
        <v>62</v>
      </c>
      <c r="P87">
        <v>24</v>
      </c>
      <c r="Q87">
        <v>589</v>
      </c>
      <c r="R87">
        <v>22</v>
      </c>
      <c r="S87">
        <v>33.808636513209002</v>
      </c>
      <c r="T87" t="s">
        <v>64</v>
      </c>
      <c r="U87">
        <v>4.8434565771180402</v>
      </c>
      <c r="V87" t="s">
        <v>40</v>
      </c>
      <c r="W87" t="s">
        <v>32</v>
      </c>
      <c r="X87">
        <v>465.45700596368698</v>
      </c>
    </row>
    <row r="88" spans="1:24">
      <c r="A88" t="s">
        <v>57</v>
      </c>
      <c r="B88" t="s">
        <v>139</v>
      </c>
      <c r="C88">
        <v>76.962994415193805</v>
      </c>
      <c r="D88">
        <v>83</v>
      </c>
      <c r="E88">
        <v>25</v>
      </c>
      <c r="F88">
        <v>8684.6130592538502</v>
      </c>
      <c r="G88" t="s">
        <v>35</v>
      </c>
      <c r="H88">
        <v>15</v>
      </c>
      <c r="I88">
        <v>18</v>
      </c>
      <c r="J88">
        <v>66</v>
      </c>
      <c r="K88">
        <v>2</v>
      </c>
      <c r="L88" t="s">
        <v>43</v>
      </c>
      <c r="M88">
        <v>8.2491687048717193</v>
      </c>
      <c r="N88" t="s">
        <v>44</v>
      </c>
      <c r="O88" t="s">
        <v>62</v>
      </c>
      <c r="P88">
        <v>4</v>
      </c>
      <c r="Q88">
        <v>211</v>
      </c>
      <c r="R88">
        <v>2</v>
      </c>
      <c r="S88">
        <v>69.929345518672307</v>
      </c>
      <c r="T88" t="s">
        <v>46</v>
      </c>
      <c r="U88">
        <v>1.3744289997457499</v>
      </c>
      <c r="V88" t="s">
        <v>31</v>
      </c>
      <c r="W88" t="s">
        <v>32</v>
      </c>
      <c r="X88">
        <v>842.68683000464102</v>
      </c>
    </row>
    <row r="89" spans="1:24">
      <c r="A89" t="s">
        <v>33</v>
      </c>
      <c r="B89" t="s">
        <v>140</v>
      </c>
      <c r="C89">
        <v>19.9981769404042</v>
      </c>
      <c r="D89">
        <v>18</v>
      </c>
      <c r="E89">
        <v>223</v>
      </c>
      <c r="F89">
        <v>1229.59102856498</v>
      </c>
      <c r="G89" t="s">
        <v>38</v>
      </c>
      <c r="H89">
        <v>32</v>
      </c>
      <c r="I89">
        <v>14</v>
      </c>
      <c r="J89">
        <v>22</v>
      </c>
      <c r="K89">
        <v>6</v>
      </c>
      <c r="L89" t="s">
        <v>27</v>
      </c>
      <c r="M89">
        <v>1.4543053101535499</v>
      </c>
      <c r="N89" t="s">
        <v>39</v>
      </c>
      <c r="O89" t="s">
        <v>29</v>
      </c>
      <c r="P89">
        <v>4</v>
      </c>
      <c r="Q89">
        <v>569</v>
      </c>
      <c r="R89">
        <v>18</v>
      </c>
      <c r="S89">
        <v>74.608969995194599</v>
      </c>
      <c r="T89" t="s">
        <v>64</v>
      </c>
      <c r="U89">
        <v>2.0515129307662399</v>
      </c>
      <c r="V89" t="s">
        <v>47</v>
      </c>
      <c r="W89" t="s">
        <v>48</v>
      </c>
      <c r="X89">
        <v>264.25488983586598</v>
      </c>
    </row>
    <row r="90" spans="1:24">
      <c r="A90" t="s">
        <v>24</v>
      </c>
      <c r="B90" t="s">
        <v>141</v>
      </c>
      <c r="C90">
        <v>80.414036650355698</v>
      </c>
      <c r="D90">
        <v>24</v>
      </c>
      <c r="E90">
        <v>79</v>
      </c>
      <c r="F90">
        <v>5133.8467010866898</v>
      </c>
      <c r="G90" t="s">
        <v>55</v>
      </c>
      <c r="H90">
        <v>5</v>
      </c>
      <c r="I90">
        <v>7</v>
      </c>
      <c r="J90">
        <v>55</v>
      </c>
      <c r="K90">
        <v>10</v>
      </c>
      <c r="L90" t="s">
        <v>36</v>
      </c>
      <c r="M90">
        <v>6.5758037975485299</v>
      </c>
      <c r="N90" t="s">
        <v>28</v>
      </c>
      <c r="O90" t="s">
        <v>62</v>
      </c>
      <c r="P90">
        <v>27</v>
      </c>
      <c r="Q90">
        <v>523</v>
      </c>
      <c r="R90">
        <v>17</v>
      </c>
      <c r="S90">
        <v>28.696996824143099</v>
      </c>
      <c r="T90" t="s">
        <v>46</v>
      </c>
      <c r="U90">
        <v>3.6937377878392699</v>
      </c>
      <c r="V90" t="s">
        <v>56</v>
      </c>
      <c r="W90" t="s">
        <v>32</v>
      </c>
      <c r="X90">
        <v>879.35921773492396</v>
      </c>
    </row>
    <row r="91" spans="1:24">
      <c r="A91" t="s">
        <v>57</v>
      </c>
      <c r="B91" t="s">
        <v>142</v>
      </c>
      <c r="C91">
        <v>75.270406975724995</v>
      </c>
      <c r="D91">
        <v>58</v>
      </c>
      <c r="E91">
        <v>737</v>
      </c>
      <c r="F91">
        <v>9444.7420330629793</v>
      </c>
      <c r="G91" t="s">
        <v>55</v>
      </c>
      <c r="H91">
        <v>60</v>
      </c>
      <c r="I91">
        <v>18</v>
      </c>
      <c r="J91">
        <v>85</v>
      </c>
      <c r="K91">
        <v>7</v>
      </c>
      <c r="L91" t="s">
        <v>36</v>
      </c>
      <c r="M91">
        <v>3.8012531329310701</v>
      </c>
      <c r="N91" t="s">
        <v>61</v>
      </c>
      <c r="O91" t="s">
        <v>29</v>
      </c>
      <c r="P91">
        <v>21</v>
      </c>
      <c r="Q91">
        <v>953</v>
      </c>
      <c r="R91">
        <v>11</v>
      </c>
      <c r="S91">
        <v>68.1849190570411</v>
      </c>
      <c r="T91" t="s">
        <v>30</v>
      </c>
      <c r="U91">
        <v>0.722204401882931</v>
      </c>
      <c r="V91" t="s">
        <v>56</v>
      </c>
      <c r="W91" t="s">
        <v>48</v>
      </c>
      <c r="X91">
        <v>103.916247960704</v>
      </c>
    </row>
    <row r="92" spans="1:24">
      <c r="A92" t="s">
        <v>57</v>
      </c>
      <c r="B92" t="s">
        <v>143</v>
      </c>
      <c r="C92">
        <v>97.760085581938597</v>
      </c>
      <c r="D92">
        <v>10</v>
      </c>
      <c r="E92">
        <v>134</v>
      </c>
      <c r="F92">
        <v>5924.6825668532301</v>
      </c>
      <c r="G92" t="s">
        <v>38</v>
      </c>
      <c r="H92">
        <v>90</v>
      </c>
      <c r="I92">
        <v>1</v>
      </c>
      <c r="J92">
        <v>27</v>
      </c>
      <c r="K92">
        <v>8</v>
      </c>
      <c r="L92" t="s">
        <v>27</v>
      </c>
      <c r="M92">
        <v>9.9298162452772498</v>
      </c>
      <c r="N92" t="s">
        <v>39</v>
      </c>
      <c r="O92" t="s">
        <v>45</v>
      </c>
      <c r="P92">
        <v>23</v>
      </c>
      <c r="Q92">
        <v>370</v>
      </c>
      <c r="R92">
        <v>11</v>
      </c>
      <c r="S92">
        <v>46.603873381644398</v>
      </c>
      <c r="T92" t="s">
        <v>30</v>
      </c>
      <c r="U92">
        <v>1.9076657339590699</v>
      </c>
      <c r="V92" t="s">
        <v>47</v>
      </c>
      <c r="W92" t="s">
        <v>32</v>
      </c>
      <c r="X92">
        <v>517.49997392906005</v>
      </c>
    </row>
    <row r="93" spans="1:24">
      <c r="A93" t="s">
        <v>33</v>
      </c>
      <c r="B93" t="s">
        <v>144</v>
      </c>
      <c r="C93">
        <v>13.881913501359101</v>
      </c>
      <c r="D93">
        <v>56</v>
      </c>
      <c r="E93">
        <v>320</v>
      </c>
      <c r="F93">
        <v>9592.6335702803099</v>
      </c>
      <c r="G93" t="s">
        <v>26</v>
      </c>
      <c r="H93">
        <v>66</v>
      </c>
      <c r="I93">
        <v>18</v>
      </c>
      <c r="J93">
        <v>96</v>
      </c>
      <c r="K93">
        <v>7</v>
      </c>
      <c r="L93" t="s">
        <v>27</v>
      </c>
      <c r="M93">
        <v>7.6744307081126903</v>
      </c>
      <c r="N93" t="s">
        <v>28</v>
      </c>
      <c r="O93" t="s">
        <v>53</v>
      </c>
      <c r="P93">
        <v>8</v>
      </c>
      <c r="Q93">
        <v>585</v>
      </c>
      <c r="R93">
        <v>8</v>
      </c>
      <c r="S93">
        <v>85.675963335797903</v>
      </c>
      <c r="T93" t="s">
        <v>64</v>
      </c>
      <c r="U93">
        <v>1.2193822244013801</v>
      </c>
      <c r="V93" t="s">
        <v>47</v>
      </c>
      <c r="W93" t="s">
        <v>32</v>
      </c>
      <c r="X93">
        <v>990.07847250581096</v>
      </c>
    </row>
    <row r="94" spans="1:24">
      <c r="A94" t="s">
        <v>57</v>
      </c>
      <c r="B94" t="s">
        <v>145</v>
      </c>
      <c r="C94">
        <v>62.111965463961702</v>
      </c>
      <c r="D94">
        <v>90</v>
      </c>
      <c r="E94">
        <v>916</v>
      </c>
      <c r="F94">
        <v>1935.20679350759</v>
      </c>
      <c r="G94" t="s">
        <v>55</v>
      </c>
      <c r="H94">
        <v>98</v>
      </c>
      <c r="I94">
        <v>22</v>
      </c>
      <c r="J94">
        <v>85</v>
      </c>
      <c r="K94">
        <v>7</v>
      </c>
      <c r="L94" t="s">
        <v>27</v>
      </c>
      <c r="M94">
        <v>7.4715140844011403</v>
      </c>
      <c r="N94" t="s">
        <v>52</v>
      </c>
      <c r="O94" t="s">
        <v>50</v>
      </c>
      <c r="P94">
        <v>5</v>
      </c>
      <c r="Q94">
        <v>207</v>
      </c>
      <c r="R94">
        <v>28</v>
      </c>
      <c r="S94">
        <v>39.772882502339897</v>
      </c>
      <c r="T94" t="s">
        <v>30</v>
      </c>
      <c r="U94">
        <v>0.62600185820939402</v>
      </c>
      <c r="V94" t="s">
        <v>47</v>
      </c>
      <c r="W94" t="s">
        <v>32</v>
      </c>
      <c r="X94">
        <v>996.77831495062298</v>
      </c>
    </row>
    <row r="95" spans="1:24">
      <c r="A95" t="s">
        <v>57</v>
      </c>
      <c r="B95" t="s">
        <v>146</v>
      </c>
      <c r="C95">
        <v>47.714233075820196</v>
      </c>
      <c r="D95">
        <v>44</v>
      </c>
      <c r="E95">
        <v>276</v>
      </c>
      <c r="F95">
        <v>2100.1297546259302</v>
      </c>
      <c r="G95" t="s">
        <v>55</v>
      </c>
      <c r="H95">
        <v>90</v>
      </c>
      <c r="I95">
        <v>25</v>
      </c>
      <c r="J95">
        <v>10</v>
      </c>
      <c r="K95">
        <v>8</v>
      </c>
      <c r="L95" t="s">
        <v>27</v>
      </c>
      <c r="M95">
        <v>4.4695000261236002</v>
      </c>
      <c r="N95" t="s">
        <v>61</v>
      </c>
      <c r="O95" t="s">
        <v>29</v>
      </c>
      <c r="P95">
        <v>4</v>
      </c>
      <c r="Q95">
        <v>671</v>
      </c>
      <c r="R95">
        <v>29</v>
      </c>
      <c r="S95">
        <v>62.612690395614301</v>
      </c>
      <c r="T95" t="s">
        <v>64</v>
      </c>
      <c r="U95">
        <v>0.33343182522473902</v>
      </c>
      <c r="V95" t="s">
        <v>47</v>
      </c>
      <c r="W95" t="s">
        <v>32</v>
      </c>
      <c r="X95">
        <v>230.092782536762</v>
      </c>
    </row>
    <row r="96" spans="1:24">
      <c r="A96" t="s">
        <v>24</v>
      </c>
      <c r="B96" t="s">
        <v>147</v>
      </c>
      <c r="C96">
        <v>69.290831002905406</v>
      </c>
      <c r="D96">
        <v>88</v>
      </c>
      <c r="E96">
        <v>114</v>
      </c>
      <c r="F96">
        <v>4531.4021336919004</v>
      </c>
      <c r="G96" t="s">
        <v>38</v>
      </c>
      <c r="H96">
        <v>63</v>
      </c>
      <c r="I96">
        <v>17</v>
      </c>
      <c r="J96">
        <v>66</v>
      </c>
      <c r="K96">
        <v>1</v>
      </c>
      <c r="L96" t="s">
        <v>43</v>
      </c>
      <c r="M96">
        <v>7.00643205900439</v>
      </c>
      <c r="N96" t="s">
        <v>52</v>
      </c>
      <c r="O96" t="s">
        <v>62</v>
      </c>
      <c r="P96">
        <v>21</v>
      </c>
      <c r="Q96">
        <v>824</v>
      </c>
      <c r="R96">
        <v>20</v>
      </c>
      <c r="S96">
        <v>35.633652343343797</v>
      </c>
      <c r="T96" t="s">
        <v>46</v>
      </c>
      <c r="U96">
        <v>4.1657817954241398</v>
      </c>
      <c r="V96" t="s">
        <v>40</v>
      </c>
      <c r="W96" t="s">
        <v>48</v>
      </c>
      <c r="X96">
        <v>823.52384588815505</v>
      </c>
    </row>
    <row r="97" spans="1:24">
      <c r="A97" t="s">
        <v>57</v>
      </c>
      <c r="B97" t="s">
        <v>148</v>
      </c>
      <c r="C97">
        <v>3.0376887246314102</v>
      </c>
      <c r="D97">
        <v>97</v>
      </c>
      <c r="E97">
        <v>987</v>
      </c>
      <c r="F97">
        <v>7888.3565466618702</v>
      </c>
      <c r="G97" t="s">
        <v>38</v>
      </c>
      <c r="H97">
        <v>77</v>
      </c>
      <c r="I97">
        <v>26</v>
      </c>
      <c r="J97">
        <v>72</v>
      </c>
      <c r="K97">
        <v>9</v>
      </c>
      <c r="L97" t="s">
        <v>27</v>
      </c>
      <c r="M97">
        <v>6.9429459420325799</v>
      </c>
      <c r="N97" t="s">
        <v>61</v>
      </c>
      <c r="O97" t="s">
        <v>50</v>
      </c>
      <c r="P97">
        <v>12</v>
      </c>
      <c r="Q97">
        <v>908</v>
      </c>
      <c r="R97">
        <v>14</v>
      </c>
      <c r="S97">
        <v>60.387378614862101</v>
      </c>
      <c r="T97" t="s">
        <v>64</v>
      </c>
      <c r="U97">
        <v>1.4636074984727701</v>
      </c>
      <c r="V97" t="s">
        <v>47</v>
      </c>
      <c r="W97" t="s">
        <v>32</v>
      </c>
      <c r="X97">
        <v>846.66525698669398</v>
      </c>
    </row>
    <row r="98" spans="1:24">
      <c r="A98" t="s">
        <v>24</v>
      </c>
      <c r="B98" t="s">
        <v>149</v>
      </c>
      <c r="C98">
        <v>77.903927219447695</v>
      </c>
      <c r="D98">
        <v>65</v>
      </c>
      <c r="E98">
        <v>672</v>
      </c>
      <c r="F98">
        <v>7386.3639440486604</v>
      </c>
      <c r="G98" t="s">
        <v>38</v>
      </c>
      <c r="H98">
        <v>15</v>
      </c>
      <c r="I98">
        <v>14</v>
      </c>
      <c r="J98">
        <v>26</v>
      </c>
      <c r="K98">
        <v>9</v>
      </c>
      <c r="L98" t="s">
        <v>27</v>
      </c>
      <c r="M98">
        <v>8.6303388696027508</v>
      </c>
      <c r="N98" t="s">
        <v>52</v>
      </c>
      <c r="O98" t="s">
        <v>29</v>
      </c>
      <c r="P98">
        <v>18</v>
      </c>
      <c r="Q98">
        <v>450</v>
      </c>
      <c r="R98">
        <v>26</v>
      </c>
      <c r="S98">
        <v>58.890685768589897</v>
      </c>
      <c r="T98" t="s">
        <v>30</v>
      </c>
      <c r="U98">
        <v>1.21088212958506</v>
      </c>
      <c r="V98" t="s">
        <v>40</v>
      </c>
      <c r="W98" t="s">
        <v>48</v>
      </c>
      <c r="X98">
        <v>778.86424137664699</v>
      </c>
    </row>
    <row r="99" spans="1:24">
      <c r="A99" t="s">
        <v>57</v>
      </c>
      <c r="B99" t="s">
        <v>150</v>
      </c>
      <c r="C99">
        <v>24.423131420373299</v>
      </c>
      <c r="D99">
        <v>29</v>
      </c>
      <c r="E99">
        <v>324</v>
      </c>
      <c r="F99">
        <v>7698.4247656321104</v>
      </c>
      <c r="G99" t="s">
        <v>26</v>
      </c>
      <c r="H99">
        <v>67</v>
      </c>
      <c r="I99">
        <v>2</v>
      </c>
      <c r="J99">
        <v>32</v>
      </c>
      <c r="K99">
        <v>3</v>
      </c>
      <c r="L99" t="s">
        <v>43</v>
      </c>
      <c r="M99">
        <v>5.3528780439967996</v>
      </c>
      <c r="N99" t="s">
        <v>28</v>
      </c>
      <c r="O99" t="s">
        <v>29</v>
      </c>
      <c r="P99">
        <v>28</v>
      </c>
      <c r="Q99">
        <v>648</v>
      </c>
      <c r="R99">
        <v>28</v>
      </c>
      <c r="S99">
        <v>17.803756331391199</v>
      </c>
      <c r="T99" t="s">
        <v>30</v>
      </c>
      <c r="U99">
        <v>3.8720476814821301</v>
      </c>
      <c r="V99" t="s">
        <v>31</v>
      </c>
      <c r="W99" t="s">
        <v>48</v>
      </c>
      <c r="X99">
        <v>188.74214114905601</v>
      </c>
    </row>
    <row r="100" spans="1:24">
      <c r="A100" t="s">
        <v>24</v>
      </c>
      <c r="B100" t="s">
        <v>151</v>
      </c>
      <c r="C100">
        <v>3.5261112591434101</v>
      </c>
      <c r="D100">
        <v>56</v>
      </c>
      <c r="E100">
        <v>62</v>
      </c>
      <c r="F100">
        <v>4370.9165799845296</v>
      </c>
      <c r="G100" t="s">
        <v>55</v>
      </c>
      <c r="H100">
        <v>46</v>
      </c>
      <c r="I100">
        <v>19</v>
      </c>
      <c r="J100">
        <v>4</v>
      </c>
      <c r="K100">
        <v>9</v>
      </c>
      <c r="L100" t="s">
        <v>36</v>
      </c>
      <c r="M100">
        <v>7.9048456112096703</v>
      </c>
      <c r="N100" t="s">
        <v>52</v>
      </c>
      <c r="O100" t="s">
        <v>29</v>
      </c>
      <c r="P100">
        <v>10</v>
      </c>
      <c r="Q100">
        <v>535</v>
      </c>
      <c r="R100">
        <v>13</v>
      </c>
      <c r="S100">
        <v>65.765155926367399</v>
      </c>
      <c r="T100" t="s">
        <v>46</v>
      </c>
      <c r="U100">
        <v>3.3762378347179798</v>
      </c>
      <c r="V100" t="s">
        <v>31</v>
      </c>
      <c r="W100" t="s">
        <v>48</v>
      </c>
      <c r="X100">
        <v>540.13242286796697</v>
      </c>
    </row>
    <row r="101" spans="1:24">
      <c r="A101" t="s">
        <v>33</v>
      </c>
      <c r="B101" t="s">
        <v>152</v>
      </c>
      <c r="C101">
        <v>19.754604866878601</v>
      </c>
      <c r="D101">
        <v>43</v>
      </c>
      <c r="E101">
        <v>913</v>
      </c>
      <c r="F101">
        <v>8525.9525596835192</v>
      </c>
      <c r="G101" t="s">
        <v>35</v>
      </c>
      <c r="H101">
        <v>53</v>
      </c>
      <c r="I101">
        <v>1</v>
      </c>
      <c r="J101">
        <v>27</v>
      </c>
      <c r="K101">
        <v>7</v>
      </c>
      <c r="L101" t="s">
        <v>27</v>
      </c>
      <c r="M101">
        <v>1.4098010951380699</v>
      </c>
      <c r="N101" t="s">
        <v>44</v>
      </c>
      <c r="O101" t="s">
        <v>62</v>
      </c>
      <c r="P101">
        <v>28</v>
      </c>
      <c r="Q101">
        <v>581</v>
      </c>
      <c r="R101">
        <v>9</v>
      </c>
      <c r="S101">
        <v>5.6046908643717801</v>
      </c>
      <c r="T101" t="s">
        <v>30</v>
      </c>
      <c r="U101">
        <v>2.9081221693512598</v>
      </c>
      <c r="V101" t="s">
        <v>47</v>
      </c>
      <c r="W101" t="s">
        <v>48</v>
      </c>
      <c r="X101">
        <v>882.19886354704101</v>
      </c>
    </row>
    <row r="102" spans="1:24">
      <c r="A102" t="s">
        <v>24</v>
      </c>
      <c r="B102" t="s">
        <v>153</v>
      </c>
      <c r="C102">
        <v>68.517832699276596</v>
      </c>
      <c r="D102">
        <v>17</v>
      </c>
      <c r="E102">
        <v>627</v>
      </c>
      <c r="F102">
        <v>9185.1858291817007</v>
      </c>
      <c r="G102" t="s">
        <v>38</v>
      </c>
      <c r="H102">
        <v>55</v>
      </c>
      <c r="I102">
        <v>8</v>
      </c>
      <c r="J102">
        <v>59</v>
      </c>
      <c r="K102">
        <v>6</v>
      </c>
      <c r="L102" t="s">
        <v>27</v>
      </c>
      <c r="M102">
        <v>1.3110237561206199</v>
      </c>
      <c r="N102" t="s">
        <v>61</v>
      </c>
      <c r="O102" t="s">
        <v>62</v>
      </c>
      <c r="P102">
        <v>29</v>
      </c>
      <c r="Q102">
        <v>921</v>
      </c>
      <c r="R102">
        <v>2</v>
      </c>
      <c r="S102">
        <v>38.072898520625998</v>
      </c>
      <c r="T102" t="s">
        <v>46</v>
      </c>
      <c r="U102">
        <v>0.34602729070550298</v>
      </c>
      <c r="V102" t="s">
        <v>47</v>
      </c>
      <c r="W102" t="s">
        <v>32</v>
      </c>
      <c r="X102">
        <v>210.743008964246</v>
      </c>
    </row>
  </sheetData>
  <mergeCells count="1">
    <mergeCell ref="A1:X1"/>
  </mergeCells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1A1D-7F6C-944A-A3FB-557E776C090E}">
  <dimension ref="A2:F137"/>
  <sheetViews>
    <sheetView topLeftCell="B1" zoomScale="68" workbookViewId="0">
      <selection activeCell="J2" sqref="J2"/>
    </sheetView>
  </sheetViews>
  <sheetFormatPr baseColWidth="10" defaultRowHeight="16"/>
  <cols>
    <col min="1" max="1" width="15.83203125" customWidth="1"/>
    <col min="2" max="2" width="18.5" customWidth="1"/>
    <col min="3" max="3" width="16.33203125" customWidth="1"/>
    <col min="4" max="4" width="24.5" customWidth="1"/>
    <col min="5" max="5" width="20.1640625" customWidth="1"/>
    <col min="6" max="6" width="13.33203125" customWidth="1"/>
    <col min="7" max="7" width="14.1640625" customWidth="1"/>
    <col min="8" max="8" width="5.5" bestFit="1" customWidth="1"/>
    <col min="9" max="9" width="7.5" bestFit="1" customWidth="1"/>
    <col min="10" max="10" width="7.83203125" bestFit="1" customWidth="1"/>
    <col min="11" max="11" width="10.5" bestFit="1" customWidth="1"/>
    <col min="12" max="12" width="15.5" bestFit="1" customWidth="1"/>
    <col min="13" max="13" width="15.33203125" bestFit="1" customWidth="1"/>
  </cols>
  <sheetData>
    <row r="2" spans="1:4" ht="22">
      <c r="A2" s="27" t="s">
        <v>271</v>
      </c>
      <c r="B2" s="27"/>
    </row>
    <row r="3" spans="1:4">
      <c r="A3" s="8" t="s">
        <v>255</v>
      </c>
      <c r="B3" s="8" t="s">
        <v>249</v>
      </c>
    </row>
    <row r="4" spans="1:4">
      <c r="A4" s="6" t="s">
        <v>250</v>
      </c>
      <c r="B4" s="7">
        <f>SUM(Tbl_sales[Revenue generated])</f>
        <v>577604.81873800792</v>
      </c>
    </row>
    <row r="5" spans="1:4">
      <c r="A5" s="6" t="s">
        <v>251</v>
      </c>
      <c r="B5" s="7">
        <f>SUM(Tbl_sales[Number of products sold])</f>
        <v>46099</v>
      </c>
    </row>
    <row r="6" spans="1:4">
      <c r="A6" s="6" t="s">
        <v>252</v>
      </c>
      <c r="B6" s="7">
        <f>AVERAGE(Tbl_sales[Defect rates])</f>
        <v>2.2771579927396073</v>
      </c>
    </row>
    <row r="7" spans="1:4">
      <c r="A7" s="6" t="s">
        <v>253</v>
      </c>
      <c r="B7" s="7">
        <f>AVERAGE(Tbl_sales[Lead times])</f>
        <v>15.96</v>
      </c>
    </row>
    <row r="8" spans="1:4">
      <c r="A8" s="6" t="s">
        <v>254</v>
      </c>
      <c r="B8" s="7">
        <f>COUNTIF(Tbl_sales[Stock levels],"&lt;=10")</f>
        <v>17</v>
      </c>
    </row>
    <row r="11" spans="1:4" ht="22">
      <c r="A11" s="26" t="s">
        <v>267</v>
      </c>
      <c r="B11" s="26"/>
      <c r="C11" s="26"/>
      <c r="D11" s="26"/>
    </row>
    <row r="12" spans="1:4">
      <c r="A12" s="8" t="s">
        <v>268</v>
      </c>
      <c r="B12" s="8" t="s">
        <v>250</v>
      </c>
      <c r="C12" s="8" t="s">
        <v>269</v>
      </c>
      <c r="D12" s="8" t="s">
        <v>270</v>
      </c>
    </row>
    <row r="13" spans="1:4">
      <c r="A13" s="9" t="str" cm="1">
        <f t="array" ref="A13:A15">_xlfn.UNIQUE(Tbl_sales[Product type])</f>
        <v>haircare</v>
      </c>
      <c r="B13" s="10">
        <f>IF(A13&lt;&gt;"",SUMIF(Tbl_sales[Product type],A13,Tbl_sales[Revenue generated]),"")</f>
        <v>174455.39060546222</v>
      </c>
      <c r="C13" s="10">
        <f>IF(A13&lt;&gt;"",SUMIF(Tbl_sales[Product type],A13,Tbl_sales[Number of products sold]),"")</f>
        <v>13611</v>
      </c>
      <c r="D13" s="10">
        <f>IF(A13&lt;&gt;"",AVERAGEIF(Tbl_sales[Product type],A13,Tbl_sales[Price]),"")</f>
        <v>46.014278873737688</v>
      </c>
    </row>
    <row r="14" spans="1:4">
      <c r="A14" s="9" t="str">
        <v>skincare</v>
      </c>
      <c r="B14" s="10">
        <f>IF(A14&lt;&gt;"",SUMIF(Tbl_sales[Product type],A14,Tbl_sales[Revenue generated]),"")</f>
        <v>241628.16213306302</v>
      </c>
      <c r="C14" s="10">
        <f>IF(A14&lt;&gt;"",SUMIF(Tbl_sales[Product type],A14,Tbl_sales[Number of products sold]),"")</f>
        <v>20731</v>
      </c>
      <c r="D14" s="10">
        <f>AVERAGEIF(Tbl_sales[Product type],A14,Tbl_sales[Price])</f>
        <v>47.259328879368724</v>
      </c>
    </row>
    <row r="15" spans="1:4">
      <c r="A15" s="9" t="str">
        <v>cosmetics</v>
      </c>
      <c r="B15" s="10">
        <f>IF(A15&lt;&gt;"",SUMIF(Tbl_sales[Product type],A15,Tbl_sales[Revenue generated]),"")</f>
        <v>161521.26599948306</v>
      </c>
      <c r="C15" s="10">
        <f>IF(A15&lt;&gt;"",SUMIF(Tbl_sales[Product type],A15,Tbl_sales[Number of products sold]),"")</f>
        <v>11757</v>
      </c>
      <c r="D15" s="10">
        <f>AVERAGEIF(Tbl_sales[Product type],A15,Tbl_sales[Price])</f>
        <v>57.361057599328305</v>
      </c>
    </row>
    <row r="20" spans="1:5" ht="22">
      <c r="A20" s="26" t="s">
        <v>262</v>
      </c>
      <c r="B20" s="26"/>
      <c r="C20" s="26"/>
      <c r="D20" s="26"/>
      <c r="E20" s="26"/>
    </row>
    <row r="21" spans="1:5">
      <c r="A21" s="8" t="s">
        <v>13</v>
      </c>
      <c r="B21" s="8" t="s">
        <v>258</v>
      </c>
      <c r="C21" s="8" t="s">
        <v>259</v>
      </c>
      <c r="D21" s="8" t="s">
        <v>260</v>
      </c>
      <c r="E21" s="8" t="s">
        <v>261</v>
      </c>
    </row>
    <row r="22" spans="1:5">
      <c r="A22" s="9" t="str" cm="1">
        <f t="array" ref="A22:A26">_xlfn._xlws.SORT(_xlfn.UNIQUE(Tbl_sales[Supplier name],FALSE,FALSE))</f>
        <v>Supplier 1</v>
      </c>
      <c r="B22" s="9">
        <f>IF(A22&lt;&gt;"",AVERAGEIF(Tbl_sales[Supplier name],A22,Tbl_sales[Defect rates]),"")</f>
        <v>1.8036297116882485</v>
      </c>
      <c r="C22" s="10">
        <f>IF(A22&lt;&gt;"",AVERAGEIF(Tbl_sales[Supplier name],A22,Tbl_sales[Lead time]),"")</f>
        <v>14.777777777777779</v>
      </c>
      <c r="D22" s="10">
        <f>IF(A22&lt;&gt;"",AVERAGEIF(Tbl_sales[Supplier name],A22,Tbl_sales[Manufacturing lead time]),"")</f>
        <v>12.592592592592593</v>
      </c>
      <c r="E22" s="10">
        <f>IF(A22&lt;&gt;"",AVERAGEIF(Tbl_sales[Supplier name],A22,Tbl_sales[Costs]),"")</f>
        <v>574.85113872103</v>
      </c>
    </row>
    <row r="23" spans="1:5">
      <c r="A23" s="9" t="str">
        <v>Supplier 2</v>
      </c>
      <c r="B23" s="9">
        <f>IF(A23&lt;&gt;"",AVERAGEIF(Tbl_sales[Supplier name],A23,Tbl_sales[Defect rates]),"")</f>
        <v>2.3627501450718764</v>
      </c>
      <c r="C23" s="10">
        <f>IF(A23&lt;&gt;"",AVERAGEIF(Tbl_sales[Supplier name],A23,Tbl_sales[Lead time]),"")</f>
        <v>18.545454545454547</v>
      </c>
      <c r="D23" s="10">
        <f>IF(A23&lt;&gt;"",AVERAGEIF(Tbl_sales[Supplier name],A23,Tbl_sales[Manufacturing lead time]),"")</f>
        <v>15.590909090909092</v>
      </c>
      <c r="E23" s="10">
        <f>IF(A23&lt;&gt;"",AVERAGEIF(Tbl_sales[Supplier name],A23,Tbl_sales[Costs]),"")</f>
        <v>515.02724081431597</v>
      </c>
    </row>
    <row r="24" spans="1:5">
      <c r="A24" s="9" t="str">
        <v>Supplier 3</v>
      </c>
      <c r="B24" s="9">
        <f>IF(A24&lt;&gt;"",AVERAGEIF(Tbl_sales[Supplier name],A24,Tbl_sales[Defect rates]),"")</f>
        <v>2.4657860307644657</v>
      </c>
      <c r="C24" s="10">
        <f>IF(A24&lt;&gt;"",AVERAGEIF(Tbl_sales[Supplier name],A24,Tbl_sales[Lead time]),"")</f>
        <v>20.133333333333333</v>
      </c>
      <c r="D24" s="10">
        <f>IF(A24&lt;&gt;"",AVERAGEIF(Tbl_sales[Supplier name],A24,Tbl_sales[Manufacturing lead time]),"")</f>
        <v>14.933333333333334</v>
      </c>
      <c r="E24" s="10">
        <f>IF(A24&lt;&gt;"",AVERAGEIF(Tbl_sales[Supplier name],A24,Tbl_sales[Costs]),"")</f>
        <v>468.80010153483437</v>
      </c>
    </row>
    <row r="25" spans="1:5">
      <c r="A25" s="9" t="str">
        <v>Supplier 4</v>
      </c>
      <c r="B25" s="9">
        <f>IF(A25&lt;&gt;"",AVERAGEIF(Tbl_sales[Supplier name],A25,Tbl_sales[Defect rates]),"")</f>
        <v>2.3373974005913354</v>
      </c>
      <c r="C25" s="10">
        <f>IF(A25&lt;&gt;"",AVERAGEIF(Tbl_sales[Supplier name],A25,Tbl_sales[Lead time]),"")</f>
        <v>15.222222222222221</v>
      </c>
      <c r="D25" s="10">
        <f>IF(A25&lt;&gt;"",AVERAGEIF(Tbl_sales[Supplier name],A25,Tbl_sales[Manufacturing lead time]),"")</f>
        <v>15.333333333333334</v>
      </c>
      <c r="E25" s="10">
        <f>IF(A25&lt;&gt;"",AVERAGEIF(Tbl_sales[Supplier name],A25,Tbl_sales[Costs]),"")</f>
        <v>521.81041762840346</v>
      </c>
    </row>
    <row r="26" spans="1:5">
      <c r="A26" s="9" t="str">
        <v>Supplier 5</v>
      </c>
      <c r="B26" s="9">
        <f>IF(A26&lt;&gt;"",AVERAGEIF(Tbl_sales[Supplier name],A26,Tbl_sales[Defect rates]),"")</f>
        <v>2.6654083441491982</v>
      </c>
      <c r="C26" s="10">
        <f>IF(A26&lt;&gt;"",AVERAGEIF(Tbl_sales[Supplier name],A26,Tbl_sales[Lead time]),"")</f>
        <v>18.055555555555557</v>
      </c>
      <c r="D26" s="10">
        <f>IF(A26&lt;&gt;"",AVERAGEIF(Tbl_sales[Supplier name],A26,Tbl_sales[Manufacturing lead time]),"")</f>
        <v>16.333333333333332</v>
      </c>
      <c r="E26" s="10">
        <f>IF(A26&lt;&gt;"",AVERAGEIF(Tbl_sales[Supplier name],A26,Tbl_sales[Costs]),"")</f>
        <v>536.0227295609734</v>
      </c>
    </row>
    <row r="29" spans="1:5" ht="22">
      <c r="A29" s="26" t="s">
        <v>266</v>
      </c>
      <c r="B29" s="26"/>
      <c r="C29" s="26"/>
    </row>
    <row r="30" spans="1:5">
      <c r="A30" s="8" t="s">
        <v>263</v>
      </c>
      <c r="B30" s="8" t="s">
        <v>264</v>
      </c>
      <c r="C30" s="8" t="s">
        <v>265</v>
      </c>
    </row>
    <row r="31" spans="1:5">
      <c r="A31" s="6" t="str" cm="1">
        <f t="array" ref="A31:A33">_xlfn.UNIQUE(Tbl_sales[Shipping carriers],FALSE)</f>
        <v>Carrier B</v>
      </c>
      <c r="B31" s="6">
        <f>IF(A31&lt;&gt;"",AVERAGEIF(Tbl_sales[Shipping carriers],A31,Tbl_sales[Shipping times]),"")</f>
        <v>5.3023255813953485</v>
      </c>
      <c r="C31" s="7">
        <f>IF(A31&lt;&gt;"",AVERAGEIF(Tbl_sales[Shipping carriers],A31,Tbl_sales[Shipping costs]),"")</f>
        <v>5.5092469689287276</v>
      </c>
    </row>
    <row r="32" spans="1:5">
      <c r="A32" s="6" t="str">
        <v>Carrier A</v>
      </c>
      <c r="B32" s="6">
        <f>IF(A32&lt;&gt;"",AVERAGEIF(Tbl_sales[Shipping carriers],A32,Tbl_sales[Shipping times]),"")</f>
        <v>6.1428571428571432</v>
      </c>
      <c r="C32" s="7">
        <f>IF(A32&lt;&gt;"",AVERAGEIF(Tbl_sales[Shipping carriers],A32,Tbl_sales[Shipping costs]),"")</f>
        <v>5.5549225216512665</v>
      </c>
    </row>
    <row r="33" spans="1:6">
      <c r="A33" s="6" t="str">
        <v>Carrier C</v>
      </c>
      <c r="B33" s="6">
        <f>IF(A33&lt;&gt;"",AVERAGEIF(Tbl_sales[Shipping carriers],A33,Tbl_sales[Shipping times]),"")</f>
        <v>6.0344827586206895</v>
      </c>
      <c r="C33" s="7">
        <f>IF(A33&lt;&gt;"",AVERAGEIF(Tbl_sales[Shipping carriers],A33,Tbl_sales[Shipping costs]),"")</f>
        <v>5.5992916183375021</v>
      </c>
    </row>
    <row r="36" spans="1:6" ht="22">
      <c r="A36" s="25" t="s">
        <v>256</v>
      </c>
      <c r="B36" s="25"/>
      <c r="C36" s="25"/>
      <c r="D36" s="25"/>
      <c r="E36" s="25"/>
      <c r="F36" s="5">
        <f>COUNTIF(F37:F137,"=Reorder")</f>
        <v>17</v>
      </c>
    </row>
    <row r="37" spans="1:6">
      <c r="A37" s="8" t="s">
        <v>1</v>
      </c>
      <c r="B37" s="8" t="s">
        <v>3</v>
      </c>
      <c r="C37" s="8" t="s">
        <v>7</v>
      </c>
      <c r="D37" s="8" t="s">
        <v>8</v>
      </c>
      <c r="E37" s="8" t="s">
        <v>10</v>
      </c>
      <c r="F37" s="8" t="s">
        <v>257</v>
      </c>
    </row>
    <row r="38" spans="1:6">
      <c r="A38" s="6" t="s">
        <v>25</v>
      </c>
      <c r="B38" s="6">
        <f>_xlfn.XLOOKUP(A38,Tbl_sales[SKU],Tbl_sales[Availability])</f>
        <v>55</v>
      </c>
      <c r="C38" s="6">
        <f>_xlfn.XLOOKUP(A38,Tbl_sales[SKU],Tbl_sales[Stock levels])</f>
        <v>58</v>
      </c>
      <c r="D38" s="6">
        <f>_xlfn.XLOOKUP(A38,Tbl_sales[SKU],Tbl_sales[Lead times])</f>
        <v>7</v>
      </c>
      <c r="E38" s="6">
        <f>_xlfn.XLOOKUP(A38,Tbl_sales[SKU],Tbl_sales[Shipping times])</f>
        <v>4</v>
      </c>
      <c r="F38" s="6" t="str">
        <f>IF(C38&lt;=10,"Reorder","OK")</f>
        <v>OK</v>
      </c>
    </row>
    <row r="39" spans="1:6">
      <c r="A39" s="6" t="s">
        <v>34</v>
      </c>
      <c r="B39" s="6">
        <f>_xlfn.XLOOKUP(A39,Tbl_sales[SKU],Tbl_sales[Availability])</f>
        <v>95</v>
      </c>
      <c r="C39" s="6">
        <f>_xlfn.XLOOKUP(A39,Tbl_sales[SKU],Tbl_sales[Stock levels])</f>
        <v>53</v>
      </c>
      <c r="D39" s="6">
        <f>_xlfn.XLOOKUP(A39,Tbl_sales[SKU],Tbl_sales[Lead times])</f>
        <v>30</v>
      </c>
      <c r="E39" s="6">
        <f>_xlfn.XLOOKUP(A39,Tbl_sales[SKU],Tbl_sales[Shipping times])</f>
        <v>2</v>
      </c>
      <c r="F39" s="6" t="str">
        <f t="shared" ref="F39:F45" si="0">IF(C39&lt;=10,"Reorder","OK")</f>
        <v>OK</v>
      </c>
    </row>
    <row r="40" spans="1:6">
      <c r="A40" s="6" t="s">
        <v>37</v>
      </c>
      <c r="B40" s="6">
        <f>_xlfn.XLOOKUP(A40,Tbl_sales[SKU],Tbl_sales[Availability])</f>
        <v>34</v>
      </c>
      <c r="C40" s="6">
        <f>_xlfn.XLOOKUP(A40,Tbl_sales[SKU],Tbl_sales[Stock levels])</f>
        <v>1</v>
      </c>
      <c r="D40" s="6">
        <f>_xlfn.XLOOKUP(A40,Tbl_sales[SKU],Tbl_sales[Lead times])</f>
        <v>10</v>
      </c>
      <c r="E40" s="6">
        <f>_xlfn.XLOOKUP(A40,Tbl_sales[SKU],Tbl_sales[Shipping times])</f>
        <v>2</v>
      </c>
      <c r="F40" s="6" t="str">
        <f t="shared" si="0"/>
        <v>Reorder</v>
      </c>
    </row>
    <row r="41" spans="1:6">
      <c r="A41" s="6" t="s">
        <v>42</v>
      </c>
      <c r="B41" s="6">
        <f>_xlfn.XLOOKUP(A41,Tbl_sales[SKU],Tbl_sales[Availability])</f>
        <v>68</v>
      </c>
      <c r="C41" s="6">
        <f>_xlfn.XLOOKUP(A41,Tbl_sales[SKU],Tbl_sales[Stock levels])</f>
        <v>23</v>
      </c>
      <c r="D41" s="6">
        <f>_xlfn.XLOOKUP(A41,Tbl_sales[SKU],Tbl_sales[Lead times])</f>
        <v>13</v>
      </c>
      <c r="E41" s="6">
        <f>_xlfn.XLOOKUP(A41,Tbl_sales[SKU],Tbl_sales[Shipping times])</f>
        <v>6</v>
      </c>
      <c r="F41" s="6" t="str">
        <f t="shared" si="0"/>
        <v>OK</v>
      </c>
    </row>
    <row r="42" spans="1:6">
      <c r="A42" s="6" t="s">
        <v>49</v>
      </c>
      <c r="B42" s="6">
        <f>_xlfn.XLOOKUP(A42,Tbl_sales[SKU],Tbl_sales[Availability])</f>
        <v>26</v>
      </c>
      <c r="C42" s="6">
        <f>_xlfn.XLOOKUP(A42,Tbl_sales[SKU],Tbl_sales[Stock levels])</f>
        <v>5</v>
      </c>
      <c r="D42" s="6">
        <f>_xlfn.XLOOKUP(A42,Tbl_sales[SKU],Tbl_sales[Lead times])</f>
        <v>3</v>
      </c>
      <c r="E42" s="6">
        <f>_xlfn.XLOOKUP(A42,Tbl_sales[SKU],Tbl_sales[Shipping times])</f>
        <v>8</v>
      </c>
      <c r="F42" s="6" t="str">
        <f t="shared" si="0"/>
        <v>Reorder</v>
      </c>
    </row>
    <row r="43" spans="1:6">
      <c r="A43" s="6" t="s">
        <v>51</v>
      </c>
      <c r="B43" s="6">
        <f>_xlfn.XLOOKUP(A43,Tbl_sales[SKU],Tbl_sales[Availability])</f>
        <v>87</v>
      </c>
      <c r="C43" s="6">
        <f>_xlfn.XLOOKUP(A43,Tbl_sales[SKU],Tbl_sales[Stock levels])</f>
        <v>90</v>
      </c>
      <c r="D43" s="6">
        <f>_xlfn.XLOOKUP(A43,Tbl_sales[SKU],Tbl_sales[Lead times])</f>
        <v>27</v>
      </c>
      <c r="E43" s="6">
        <f>_xlfn.XLOOKUP(A43,Tbl_sales[SKU],Tbl_sales[Shipping times])</f>
        <v>3</v>
      </c>
      <c r="F43" s="6" t="str">
        <f t="shared" si="0"/>
        <v>OK</v>
      </c>
    </row>
    <row r="44" spans="1:6">
      <c r="A44" s="6" t="s">
        <v>54</v>
      </c>
      <c r="B44" s="6">
        <f>_xlfn.XLOOKUP(A44,Tbl_sales[SKU],Tbl_sales[Availability])</f>
        <v>48</v>
      </c>
      <c r="C44" s="6">
        <f>_xlfn.XLOOKUP(A44,Tbl_sales[SKU],Tbl_sales[Stock levels])</f>
        <v>11</v>
      </c>
      <c r="D44" s="6">
        <f>_xlfn.XLOOKUP(A44,Tbl_sales[SKU],Tbl_sales[Lead times])</f>
        <v>15</v>
      </c>
      <c r="E44" s="6">
        <f>_xlfn.XLOOKUP(A44,Tbl_sales[SKU],Tbl_sales[Shipping times])</f>
        <v>8</v>
      </c>
      <c r="F44" s="6" t="str">
        <f t="shared" si="0"/>
        <v>OK</v>
      </c>
    </row>
    <row r="45" spans="1:6">
      <c r="A45" s="6" t="s">
        <v>58</v>
      </c>
      <c r="B45" s="6">
        <f>_xlfn.XLOOKUP(A45,Tbl_sales[SKU],Tbl_sales[Availability])</f>
        <v>59</v>
      </c>
      <c r="C45" s="6">
        <f>_xlfn.XLOOKUP(A45,Tbl_sales[SKU],Tbl_sales[Stock levels])</f>
        <v>93</v>
      </c>
      <c r="D45" s="6">
        <f>_xlfn.XLOOKUP(A45,Tbl_sales[SKU],Tbl_sales[Lead times])</f>
        <v>17</v>
      </c>
      <c r="E45" s="6">
        <f>_xlfn.XLOOKUP(A45,Tbl_sales[SKU],Tbl_sales[Shipping times])</f>
        <v>1</v>
      </c>
      <c r="F45" s="6" t="str">
        <f t="shared" si="0"/>
        <v>OK</v>
      </c>
    </row>
    <row r="46" spans="1:6">
      <c r="A46" s="6" t="s">
        <v>59</v>
      </c>
      <c r="B46" s="6">
        <f>_xlfn.XLOOKUP(A46,Tbl_sales[SKU],Tbl_sales[Availability])</f>
        <v>78</v>
      </c>
      <c r="C46" s="6">
        <f>_xlfn.XLOOKUP(A46,Tbl_sales[SKU],Tbl_sales[Stock levels])</f>
        <v>5</v>
      </c>
      <c r="D46" s="6">
        <f>_xlfn.XLOOKUP(A46,Tbl_sales[SKU],Tbl_sales[Lead times])</f>
        <v>10</v>
      </c>
      <c r="E46" s="6">
        <f>_xlfn.XLOOKUP(A46,Tbl_sales[SKU],Tbl_sales[Shipping times])</f>
        <v>7</v>
      </c>
      <c r="F46" s="6" t="str">
        <f t="shared" ref="F46:F64" si="1">IF(C46&lt;=10,"Reorder","OK")</f>
        <v>Reorder</v>
      </c>
    </row>
    <row r="47" spans="1:6">
      <c r="A47" s="6" t="s">
        <v>60</v>
      </c>
      <c r="B47" s="6">
        <f>_xlfn.XLOOKUP(A47,Tbl_sales[SKU],Tbl_sales[Availability])</f>
        <v>35</v>
      </c>
      <c r="C47" s="6">
        <f>_xlfn.XLOOKUP(A47,Tbl_sales[SKU],Tbl_sales[Stock levels])</f>
        <v>14</v>
      </c>
      <c r="D47" s="6">
        <f>_xlfn.XLOOKUP(A47,Tbl_sales[SKU],Tbl_sales[Lead times])</f>
        <v>27</v>
      </c>
      <c r="E47" s="6">
        <f>_xlfn.XLOOKUP(A47,Tbl_sales[SKU],Tbl_sales[Shipping times])</f>
        <v>1</v>
      </c>
      <c r="F47" s="6" t="str">
        <f t="shared" si="1"/>
        <v>OK</v>
      </c>
    </row>
    <row r="48" spans="1:6">
      <c r="A48" s="6" t="s">
        <v>63</v>
      </c>
      <c r="B48" s="6">
        <f>_xlfn.XLOOKUP(A48,Tbl_sales[SKU],Tbl_sales[Availability])</f>
        <v>11</v>
      </c>
      <c r="C48" s="6">
        <f>_xlfn.XLOOKUP(A48,Tbl_sales[SKU],Tbl_sales[Stock levels])</f>
        <v>51</v>
      </c>
      <c r="D48" s="6">
        <f>_xlfn.XLOOKUP(A48,Tbl_sales[SKU],Tbl_sales[Lead times])</f>
        <v>13</v>
      </c>
      <c r="E48" s="6">
        <f>_xlfn.XLOOKUP(A48,Tbl_sales[SKU],Tbl_sales[Shipping times])</f>
        <v>2</v>
      </c>
      <c r="F48" s="6" t="str">
        <f t="shared" si="1"/>
        <v>OK</v>
      </c>
    </row>
    <row r="49" spans="1:6">
      <c r="A49" s="6" t="s">
        <v>65</v>
      </c>
      <c r="B49" s="6">
        <f>_xlfn.XLOOKUP(A49,Tbl_sales[SKU],Tbl_sales[Availability])</f>
        <v>95</v>
      </c>
      <c r="C49" s="6">
        <f>_xlfn.XLOOKUP(A49,Tbl_sales[SKU],Tbl_sales[Stock levels])</f>
        <v>46</v>
      </c>
      <c r="D49" s="6">
        <f>_xlfn.XLOOKUP(A49,Tbl_sales[SKU],Tbl_sales[Lead times])</f>
        <v>23</v>
      </c>
      <c r="E49" s="6">
        <f>_xlfn.XLOOKUP(A49,Tbl_sales[SKU],Tbl_sales[Shipping times])</f>
        <v>1</v>
      </c>
      <c r="F49" s="6" t="str">
        <f t="shared" si="1"/>
        <v>OK</v>
      </c>
    </row>
    <row r="50" spans="1:6">
      <c r="A50" s="6" t="s">
        <v>66</v>
      </c>
      <c r="B50" s="6">
        <f>_xlfn.XLOOKUP(A50,Tbl_sales[SKU],Tbl_sales[Availability])</f>
        <v>41</v>
      </c>
      <c r="C50" s="6">
        <f>_xlfn.XLOOKUP(A50,Tbl_sales[SKU],Tbl_sales[Stock levels])</f>
        <v>100</v>
      </c>
      <c r="D50" s="6">
        <f>_xlfn.XLOOKUP(A50,Tbl_sales[SKU],Tbl_sales[Lead times])</f>
        <v>30</v>
      </c>
      <c r="E50" s="6">
        <f>_xlfn.XLOOKUP(A50,Tbl_sales[SKU],Tbl_sales[Shipping times])</f>
        <v>4</v>
      </c>
      <c r="F50" s="6" t="str">
        <f t="shared" si="1"/>
        <v>OK</v>
      </c>
    </row>
    <row r="51" spans="1:6">
      <c r="A51" s="6" t="s">
        <v>67</v>
      </c>
      <c r="B51" s="6">
        <f>_xlfn.XLOOKUP(A51,Tbl_sales[SKU],Tbl_sales[Availability])</f>
        <v>5</v>
      </c>
      <c r="C51" s="6">
        <f>_xlfn.XLOOKUP(A51,Tbl_sales[SKU],Tbl_sales[Stock levels])</f>
        <v>80</v>
      </c>
      <c r="D51" s="6">
        <f>_xlfn.XLOOKUP(A51,Tbl_sales[SKU],Tbl_sales[Lead times])</f>
        <v>8</v>
      </c>
      <c r="E51" s="6">
        <f>_xlfn.XLOOKUP(A51,Tbl_sales[SKU],Tbl_sales[Shipping times])</f>
        <v>9</v>
      </c>
      <c r="F51" s="6" t="str">
        <f t="shared" si="1"/>
        <v>OK</v>
      </c>
    </row>
    <row r="52" spans="1:6">
      <c r="A52" s="6" t="s">
        <v>68</v>
      </c>
      <c r="B52" s="6">
        <f>_xlfn.XLOOKUP(A52,Tbl_sales[SKU],Tbl_sales[Availability])</f>
        <v>26</v>
      </c>
      <c r="C52" s="6">
        <f>_xlfn.XLOOKUP(A52,Tbl_sales[SKU],Tbl_sales[Stock levels])</f>
        <v>54</v>
      </c>
      <c r="D52" s="6">
        <f>_xlfn.XLOOKUP(A52,Tbl_sales[SKU],Tbl_sales[Lead times])</f>
        <v>29</v>
      </c>
      <c r="E52" s="6">
        <f>_xlfn.XLOOKUP(A52,Tbl_sales[SKU],Tbl_sales[Shipping times])</f>
        <v>5</v>
      </c>
      <c r="F52" s="6" t="str">
        <f t="shared" si="1"/>
        <v>OK</v>
      </c>
    </row>
    <row r="53" spans="1:6">
      <c r="A53" s="6" t="s">
        <v>69</v>
      </c>
      <c r="B53" s="6">
        <f>_xlfn.XLOOKUP(A53,Tbl_sales[SKU],Tbl_sales[Availability])</f>
        <v>94</v>
      </c>
      <c r="C53" s="6">
        <f>_xlfn.XLOOKUP(A53,Tbl_sales[SKU],Tbl_sales[Stock levels])</f>
        <v>9</v>
      </c>
      <c r="D53" s="6">
        <f>_xlfn.XLOOKUP(A53,Tbl_sales[SKU],Tbl_sales[Lead times])</f>
        <v>8</v>
      </c>
      <c r="E53" s="6">
        <f>_xlfn.XLOOKUP(A53,Tbl_sales[SKU],Tbl_sales[Shipping times])</f>
        <v>7</v>
      </c>
      <c r="F53" s="6" t="str">
        <f t="shared" si="1"/>
        <v>Reorder</v>
      </c>
    </row>
    <row r="54" spans="1:6">
      <c r="A54" s="6" t="s">
        <v>70</v>
      </c>
      <c r="B54" s="6">
        <f>_xlfn.XLOOKUP(A54,Tbl_sales[SKU],Tbl_sales[Availability])</f>
        <v>74</v>
      </c>
      <c r="C54" s="6">
        <f>_xlfn.XLOOKUP(A54,Tbl_sales[SKU],Tbl_sales[Stock levels])</f>
        <v>2</v>
      </c>
      <c r="D54" s="6">
        <f>_xlfn.XLOOKUP(A54,Tbl_sales[SKU],Tbl_sales[Lead times])</f>
        <v>5</v>
      </c>
      <c r="E54" s="6">
        <f>_xlfn.XLOOKUP(A54,Tbl_sales[SKU],Tbl_sales[Shipping times])</f>
        <v>1</v>
      </c>
      <c r="F54" s="6" t="str">
        <f t="shared" si="1"/>
        <v>Reorder</v>
      </c>
    </row>
    <row r="55" spans="1:6">
      <c r="A55" s="6" t="s">
        <v>71</v>
      </c>
      <c r="B55" s="6">
        <f>_xlfn.XLOOKUP(A55,Tbl_sales[SKU],Tbl_sales[Availability])</f>
        <v>82</v>
      </c>
      <c r="C55" s="6">
        <f>_xlfn.XLOOKUP(A55,Tbl_sales[SKU],Tbl_sales[Stock levels])</f>
        <v>45</v>
      </c>
      <c r="D55" s="6">
        <f>_xlfn.XLOOKUP(A55,Tbl_sales[SKU],Tbl_sales[Lead times])</f>
        <v>17</v>
      </c>
      <c r="E55" s="6">
        <f>_xlfn.XLOOKUP(A55,Tbl_sales[SKU],Tbl_sales[Shipping times])</f>
        <v>9</v>
      </c>
      <c r="F55" s="6" t="str">
        <f t="shared" si="1"/>
        <v>OK</v>
      </c>
    </row>
    <row r="56" spans="1:6">
      <c r="A56" s="6" t="s">
        <v>72</v>
      </c>
      <c r="B56" s="6">
        <f>_xlfn.XLOOKUP(A56,Tbl_sales[SKU],Tbl_sales[Availability])</f>
        <v>23</v>
      </c>
      <c r="C56" s="6">
        <f>_xlfn.XLOOKUP(A56,Tbl_sales[SKU],Tbl_sales[Stock levels])</f>
        <v>10</v>
      </c>
      <c r="D56" s="6">
        <f>_xlfn.XLOOKUP(A56,Tbl_sales[SKU],Tbl_sales[Lead times])</f>
        <v>10</v>
      </c>
      <c r="E56" s="6">
        <f>_xlfn.XLOOKUP(A56,Tbl_sales[SKU],Tbl_sales[Shipping times])</f>
        <v>8</v>
      </c>
      <c r="F56" s="6" t="str">
        <f t="shared" si="1"/>
        <v>Reorder</v>
      </c>
    </row>
    <row r="57" spans="1:6">
      <c r="A57" s="6" t="s">
        <v>73</v>
      </c>
      <c r="B57" s="6">
        <f>_xlfn.XLOOKUP(A57,Tbl_sales[SKU],Tbl_sales[Availability])</f>
        <v>100</v>
      </c>
      <c r="C57" s="6">
        <f>_xlfn.XLOOKUP(A57,Tbl_sales[SKU],Tbl_sales[Stock levels])</f>
        <v>48</v>
      </c>
      <c r="D57" s="6">
        <f>_xlfn.XLOOKUP(A57,Tbl_sales[SKU],Tbl_sales[Lead times])</f>
        <v>11</v>
      </c>
      <c r="E57" s="6">
        <f>_xlfn.XLOOKUP(A57,Tbl_sales[SKU],Tbl_sales[Shipping times])</f>
        <v>3</v>
      </c>
      <c r="F57" s="6" t="str">
        <f t="shared" si="1"/>
        <v>OK</v>
      </c>
    </row>
    <row r="58" spans="1:6">
      <c r="A58" s="6" t="s">
        <v>74</v>
      </c>
      <c r="B58" s="6">
        <f>_xlfn.XLOOKUP(A58,Tbl_sales[SKU],Tbl_sales[Availability])</f>
        <v>22</v>
      </c>
      <c r="C58" s="6">
        <f>_xlfn.XLOOKUP(A58,Tbl_sales[SKU],Tbl_sales[Stock levels])</f>
        <v>27</v>
      </c>
      <c r="D58" s="6">
        <f>_xlfn.XLOOKUP(A58,Tbl_sales[SKU],Tbl_sales[Lead times])</f>
        <v>12</v>
      </c>
      <c r="E58" s="6">
        <f>_xlfn.XLOOKUP(A58,Tbl_sales[SKU],Tbl_sales[Shipping times])</f>
        <v>6</v>
      </c>
      <c r="F58" s="6" t="str">
        <f t="shared" si="1"/>
        <v>OK</v>
      </c>
    </row>
    <row r="59" spans="1:6">
      <c r="A59" s="6" t="s">
        <v>75</v>
      </c>
      <c r="B59" s="6">
        <f>_xlfn.XLOOKUP(A59,Tbl_sales[SKU],Tbl_sales[Availability])</f>
        <v>60</v>
      </c>
      <c r="C59" s="6">
        <f>_xlfn.XLOOKUP(A59,Tbl_sales[SKU],Tbl_sales[Stock levels])</f>
        <v>69</v>
      </c>
      <c r="D59" s="6">
        <f>_xlfn.XLOOKUP(A59,Tbl_sales[SKU],Tbl_sales[Lead times])</f>
        <v>25</v>
      </c>
      <c r="E59" s="6">
        <f>_xlfn.XLOOKUP(A59,Tbl_sales[SKU],Tbl_sales[Shipping times])</f>
        <v>6</v>
      </c>
      <c r="F59" s="6" t="str">
        <f t="shared" si="1"/>
        <v>OK</v>
      </c>
    </row>
    <row r="60" spans="1:6">
      <c r="A60" s="6" t="s">
        <v>76</v>
      </c>
      <c r="B60" s="6">
        <f>_xlfn.XLOOKUP(A60,Tbl_sales[SKU],Tbl_sales[Availability])</f>
        <v>55</v>
      </c>
      <c r="C60" s="6">
        <f>_xlfn.XLOOKUP(A60,Tbl_sales[SKU],Tbl_sales[Stock levels])</f>
        <v>71</v>
      </c>
      <c r="D60" s="6">
        <f>_xlfn.XLOOKUP(A60,Tbl_sales[SKU],Tbl_sales[Lead times])</f>
        <v>1</v>
      </c>
      <c r="E60" s="6">
        <f>_xlfn.XLOOKUP(A60,Tbl_sales[SKU],Tbl_sales[Shipping times])</f>
        <v>10</v>
      </c>
      <c r="F60" s="6" t="str">
        <f t="shared" si="1"/>
        <v>OK</v>
      </c>
    </row>
    <row r="61" spans="1:6">
      <c r="A61" s="6" t="s">
        <v>77</v>
      </c>
      <c r="B61" s="6">
        <f>_xlfn.XLOOKUP(A61,Tbl_sales[SKU],Tbl_sales[Availability])</f>
        <v>30</v>
      </c>
      <c r="C61" s="6">
        <f>_xlfn.XLOOKUP(A61,Tbl_sales[SKU],Tbl_sales[Stock levels])</f>
        <v>84</v>
      </c>
      <c r="D61" s="6">
        <f>_xlfn.XLOOKUP(A61,Tbl_sales[SKU],Tbl_sales[Lead times])</f>
        <v>5</v>
      </c>
      <c r="E61" s="6">
        <f>_xlfn.XLOOKUP(A61,Tbl_sales[SKU],Tbl_sales[Shipping times])</f>
        <v>7</v>
      </c>
      <c r="F61" s="6" t="str">
        <f t="shared" si="1"/>
        <v>OK</v>
      </c>
    </row>
    <row r="62" spans="1:6">
      <c r="A62" s="6" t="s">
        <v>78</v>
      </c>
      <c r="B62" s="6">
        <f>_xlfn.XLOOKUP(A62,Tbl_sales[SKU],Tbl_sales[Availability])</f>
        <v>32</v>
      </c>
      <c r="C62" s="6">
        <f>_xlfn.XLOOKUP(A62,Tbl_sales[SKU],Tbl_sales[Stock levels])</f>
        <v>4</v>
      </c>
      <c r="D62" s="6">
        <f>_xlfn.XLOOKUP(A62,Tbl_sales[SKU],Tbl_sales[Lead times])</f>
        <v>26</v>
      </c>
      <c r="E62" s="6">
        <f>_xlfn.XLOOKUP(A62,Tbl_sales[SKU],Tbl_sales[Shipping times])</f>
        <v>8</v>
      </c>
      <c r="F62" s="6" t="str">
        <f t="shared" si="1"/>
        <v>Reorder</v>
      </c>
    </row>
    <row r="63" spans="1:6">
      <c r="A63" s="6" t="s">
        <v>79</v>
      </c>
      <c r="B63" s="6">
        <f>_xlfn.XLOOKUP(A63,Tbl_sales[SKU],Tbl_sales[Availability])</f>
        <v>73</v>
      </c>
      <c r="C63" s="6">
        <f>_xlfn.XLOOKUP(A63,Tbl_sales[SKU],Tbl_sales[Stock levels])</f>
        <v>82</v>
      </c>
      <c r="D63" s="6">
        <f>_xlfn.XLOOKUP(A63,Tbl_sales[SKU],Tbl_sales[Lead times])</f>
        <v>11</v>
      </c>
      <c r="E63" s="6">
        <f>_xlfn.XLOOKUP(A63,Tbl_sales[SKU],Tbl_sales[Shipping times])</f>
        <v>3</v>
      </c>
      <c r="F63" s="6" t="str">
        <f t="shared" si="1"/>
        <v>OK</v>
      </c>
    </row>
    <row r="64" spans="1:6">
      <c r="A64" s="6" t="s">
        <v>80</v>
      </c>
      <c r="B64" s="6">
        <f>_xlfn.XLOOKUP(A64,Tbl_sales[SKU],Tbl_sales[Availability])</f>
        <v>9</v>
      </c>
      <c r="C64" s="6">
        <f>_xlfn.XLOOKUP(A64,Tbl_sales[SKU],Tbl_sales[Stock levels])</f>
        <v>59</v>
      </c>
      <c r="D64" s="6">
        <f>_xlfn.XLOOKUP(A64,Tbl_sales[SKU],Tbl_sales[Lead times])</f>
        <v>16</v>
      </c>
      <c r="E64" s="6">
        <f>_xlfn.XLOOKUP(A64,Tbl_sales[SKU],Tbl_sales[Shipping times])</f>
        <v>4</v>
      </c>
      <c r="F64" s="6" t="str">
        <f t="shared" si="1"/>
        <v>OK</v>
      </c>
    </row>
    <row r="65" spans="1:6">
      <c r="A65" s="6" t="s">
        <v>81</v>
      </c>
      <c r="B65" s="6">
        <f>_xlfn.XLOOKUP(A65,Tbl_sales[SKU],Tbl_sales[Availability])</f>
        <v>42</v>
      </c>
      <c r="C65" s="6">
        <f>_xlfn.XLOOKUP(A65,Tbl_sales[SKU],Tbl_sales[Stock levels])</f>
        <v>47</v>
      </c>
      <c r="D65" s="6">
        <f>_xlfn.XLOOKUP(A65,Tbl_sales[SKU],Tbl_sales[Lead times])</f>
        <v>9</v>
      </c>
      <c r="E65" s="6">
        <f>_xlfn.XLOOKUP(A65,Tbl_sales[SKU],Tbl_sales[Shipping times])</f>
        <v>8</v>
      </c>
      <c r="F65" s="6" t="str">
        <f t="shared" ref="F65:F128" si="2">IF(C65&lt;=10,"Reorder","OK")</f>
        <v>OK</v>
      </c>
    </row>
    <row r="66" spans="1:6">
      <c r="A66" s="6" t="s">
        <v>82</v>
      </c>
      <c r="B66" s="6">
        <f>_xlfn.XLOOKUP(A66,Tbl_sales[SKU],Tbl_sales[Availability])</f>
        <v>12</v>
      </c>
      <c r="C66" s="6">
        <f>_xlfn.XLOOKUP(A66,Tbl_sales[SKU],Tbl_sales[Stock levels])</f>
        <v>48</v>
      </c>
      <c r="D66" s="6">
        <f>_xlfn.XLOOKUP(A66,Tbl_sales[SKU],Tbl_sales[Lead times])</f>
        <v>15</v>
      </c>
      <c r="E66" s="6">
        <f>_xlfn.XLOOKUP(A66,Tbl_sales[SKU],Tbl_sales[Shipping times])</f>
        <v>4</v>
      </c>
      <c r="F66" s="6" t="str">
        <f t="shared" si="2"/>
        <v>OK</v>
      </c>
    </row>
    <row r="67" spans="1:6">
      <c r="A67" s="6" t="s">
        <v>83</v>
      </c>
      <c r="B67" s="6">
        <f>_xlfn.XLOOKUP(A67,Tbl_sales[SKU],Tbl_sales[Availability])</f>
        <v>3</v>
      </c>
      <c r="C67" s="6">
        <f>_xlfn.XLOOKUP(A67,Tbl_sales[SKU],Tbl_sales[Stock levels])</f>
        <v>45</v>
      </c>
      <c r="D67" s="6">
        <f>_xlfn.XLOOKUP(A67,Tbl_sales[SKU],Tbl_sales[Lead times])</f>
        <v>5</v>
      </c>
      <c r="E67" s="6">
        <f>_xlfn.XLOOKUP(A67,Tbl_sales[SKU],Tbl_sales[Shipping times])</f>
        <v>7</v>
      </c>
      <c r="F67" s="6" t="str">
        <f t="shared" si="2"/>
        <v>OK</v>
      </c>
    </row>
    <row r="68" spans="1:6">
      <c r="A68" s="6" t="s">
        <v>84</v>
      </c>
      <c r="B68" s="6">
        <f>_xlfn.XLOOKUP(A68,Tbl_sales[SKU],Tbl_sales[Availability])</f>
        <v>10</v>
      </c>
      <c r="C68" s="6">
        <f>_xlfn.XLOOKUP(A68,Tbl_sales[SKU],Tbl_sales[Stock levels])</f>
        <v>60</v>
      </c>
      <c r="D68" s="6">
        <f>_xlfn.XLOOKUP(A68,Tbl_sales[SKU],Tbl_sales[Lead times])</f>
        <v>26</v>
      </c>
      <c r="E68" s="6">
        <f>_xlfn.XLOOKUP(A68,Tbl_sales[SKU],Tbl_sales[Shipping times])</f>
        <v>7</v>
      </c>
      <c r="F68" s="6" t="str">
        <f t="shared" si="2"/>
        <v>OK</v>
      </c>
    </row>
    <row r="69" spans="1:6">
      <c r="A69" s="6" t="s">
        <v>85</v>
      </c>
      <c r="B69" s="6">
        <f>_xlfn.XLOOKUP(A69,Tbl_sales[SKU],Tbl_sales[Availability])</f>
        <v>28</v>
      </c>
      <c r="C69" s="6">
        <f>_xlfn.XLOOKUP(A69,Tbl_sales[SKU],Tbl_sales[Stock levels])</f>
        <v>6</v>
      </c>
      <c r="D69" s="6">
        <f>_xlfn.XLOOKUP(A69,Tbl_sales[SKU],Tbl_sales[Lead times])</f>
        <v>17</v>
      </c>
      <c r="E69" s="6">
        <f>_xlfn.XLOOKUP(A69,Tbl_sales[SKU],Tbl_sales[Shipping times])</f>
        <v>4</v>
      </c>
      <c r="F69" s="6" t="str">
        <f t="shared" si="2"/>
        <v>Reorder</v>
      </c>
    </row>
    <row r="70" spans="1:6">
      <c r="A70" s="6" t="s">
        <v>86</v>
      </c>
      <c r="B70" s="6">
        <f>_xlfn.XLOOKUP(A70,Tbl_sales[SKU],Tbl_sales[Availability])</f>
        <v>43</v>
      </c>
      <c r="C70" s="6">
        <f>_xlfn.XLOOKUP(A70,Tbl_sales[SKU],Tbl_sales[Stock levels])</f>
        <v>89</v>
      </c>
      <c r="D70" s="6">
        <f>_xlfn.XLOOKUP(A70,Tbl_sales[SKU],Tbl_sales[Lead times])</f>
        <v>13</v>
      </c>
      <c r="E70" s="6">
        <f>_xlfn.XLOOKUP(A70,Tbl_sales[SKU],Tbl_sales[Shipping times])</f>
        <v>4</v>
      </c>
      <c r="F70" s="6" t="str">
        <f t="shared" si="2"/>
        <v>OK</v>
      </c>
    </row>
    <row r="71" spans="1:6">
      <c r="A71" s="6" t="s">
        <v>87</v>
      </c>
      <c r="B71" s="6">
        <f>_xlfn.XLOOKUP(A71,Tbl_sales[SKU],Tbl_sales[Availability])</f>
        <v>63</v>
      </c>
      <c r="C71" s="6">
        <f>_xlfn.XLOOKUP(A71,Tbl_sales[SKU],Tbl_sales[Stock levels])</f>
        <v>4</v>
      </c>
      <c r="D71" s="6">
        <f>_xlfn.XLOOKUP(A71,Tbl_sales[SKU],Tbl_sales[Lead times])</f>
        <v>17</v>
      </c>
      <c r="E71" s="6">
        <f>_xlfn.XLOOKUP(A71,Tbl_sales[SKU],Tbl_sales[Shipping times])</f>
        <v>9</v>
      </c>
      <c r="F71" s="6" t="str">
        <f t="shared" si="2"/>
        <v>Reorder</v>
      </c>
    </row>
    <row r="72" spans="1:6">
      <c r="A72" s="6" t="s">
        <v>88</v>
      </c>
      <c r="B72" s="6">
        <f>_xlfn.XLOOKUP(A72,Tbl_sales[SKU],Tbl_sales[Availability])</f>
        <v>96</v>
      </c>
      <c r="C72" s="6">
        <f>_xlfn.XLOOKUP(A72,Tbl_sales[SKU],Tbl_sales[Stock levels])</f>
        <v>1</v>
      </c>
      <c r="D72" s="6">
        <f>_xlfn.XLOOKUP(A72,Tbl_sales[SKU],Tbl_sales[Lead times])</f>
        <v>26</v>
      </c>
      <c r="E72" s="6">
        <f>_xlfn.XLOOKUP(A72,Tbl_sales[SKU],Tbl_sales[Shipping times])</f>
        <v>7</v>
      </c>
      <c r="F72" s="6" t="str">
        <f t="shared" si="2"/>
        <v>Reorder</v>
      </c>
    </row>
    <row r="73" spans="1:6">
      <c r="A73" s="6" t="s">
        <v>89</v>
      </c>
      <c r="B73" s="6">
        <f>_xlfn.XLOOKUP(A73,Tbl_sales[SKU],Tbl_sales[Availability])</f>
        <v>11</v>
      </c>
      <c r="C73" s="6">
        <f>_xlfn.XLOOKUP(A73,Tbl_sales[SKU],Tbl_sales[Stock levels])</f>
        <v>42</v>
      </c>
      <c r="D73" s="6">
        <f>_xlfn.XLOOKUP(A73,Tbl_sales[SKU],Tbl_sales[Lead times])</f>
        <v>27</v>
      </c>
      <c r="E73" s="6">
        <f>_xlfn.XLOOKUP(A73,Tbl_sales[SKU],Tbl_sales[Shipping times])</f>
        <v>8</v>
      </c>
      <c r="F73" s="6" t="str">
        <f t="shared" si="2"/>
        <v>OK</v>
      </c>
    </row>
    <row r="74" spans="1:6">
      <c r="A74" s="6" t="s">
        <v>90</v>
      </c>
      <c r="B74" s="6">
        <f>_xlfn.XLOOKUP(A74,Tbl_sales[SKU],Tbl_sales[Availability])</f>
        <v>34</v>
      </c>
      <c r="C74" s="6">
        <f>_xlfn.XLOOKUP(A74,Tbl_sales[SKU],Tbl_sales[Stock levels])</f>
        <v>18</v>
      </c>
      <c r="D74" s="6">
        <f>_xlfn.XLOOKUP(A74,Tbl_sales[SKU],Tbl_sales[Lead times])</f>
        <v>23</v>
      </c>
      <c r="E74" s="6">
        <f>_xlfn.XLOOKUP(A74,Tbl_sales[SKU],Tbl_sales[Shipping times])</f>
        <v>3</v>
      </c>
      <c r="F74" s="6" t="str">
        <f t="shared" si="2"/>
        <v>OK</v>
      </c>
    </row>
    <row r="75" spans="1:6">
      <c r="A75" s="6" t="s">
        <v>91</v>
      </c>
      <c r="B75" s="6">
        <f>_xlfn.XLOOKUP(A75,Tbl_sales[SKU],Tbl_sales[Availability])</f>
        <v>5</v>
      </c>
      <c r="C75" s="6">
        <f>_xlfn.XLOOKUP(A75,Tbl_sales[SKU],Tbl_sales[Stock levels])</f>
        <v>25</v>
      </c>
      <c r="D75" s="6">
        <f>_xlfn.XLOOKUP(A75,Tbl_sales[SKU],Tbl_sales[Lead times])</f>
        <v>8</v>
      </c>
      <c r="E75" s="6">
        <f>_xlfn.XLOOKUP(A75,Tbl_sales[SKU],Tbl_sales[Shipping times])</f>
        <v>9</v>
      </c>
      <c r="F75" s="6" t="str">
        <f t="shared" si="2"/>
        <v>OK</v>
      </c>
    </row>
    <row r="76" spans="1:6">
      <c r="A76" s="6" t="s">
        <v>92</v>
      </c>
      <c r="B76" s="6">
        <f>_xlfn.XLOOKUP(A76,Tbl_sales[SKU],Tbl_sales[Availability])</f>
        <v>75</v>
      </c>
      <c r="C76" s="6">
        <f>_xlfn.XLOOKUP(A76,Tbl_sales[SKU],Tbl_sales[Stock levels])</f>
        <v>69</v>
      </c>
      <c r="D76" s="6">
        <f>_xlfn.XLOOKUP(A76,Tbl_sales[SKU],Tbl_sales[Lead times])</f>
        <v>1</v>
      </c>
      <c r="E76" s="6">
        <f>_xlfn.XLOOKUP(A76,Tbl_sales[SKU],Tbl_sales[Shipping times])</f>
        <v>5</v>
      </c>
      <c r="F76" s="6" t="str">
        <f t="shared" si="2"/>
        <v>OK</v>
      </c>
    </row>
    <row r="77" spans="1:6">
      <c r="A77" s="6" t="s">
        <v>93</v>
      </c>
      <c r="B77" s="6">
        <f>_xlfn.XLOOKUP(A77,Tbl_sales[SKU],Tbl_sales[Availability])</f>
        <v>26</v>
      </c>
      <c r="C77" s="6">
        <f>_xlfn.XLOOKUP(A77,Tbl_sales[SKU],Tbl_sales[Stock levels])</f>
        <v>78</v>
      </c>
      <c r="D77" s="6">
        <f>_xlfn.XLOOKUP(A77,Tbl_sales[SKU],Tbl_sales[Lead times])</f>
        <v>29</v>
      </c>
      <c r="E77" s="6">
        <f>_xlfn.XLOOKUP(A77,Tbl_sales[SKU],Tbl_sales[Shipping times])</f>
        <v>3</v>
      </c>
      <c r="F77" s="6" t="str">
        <f t="shared" si="2"/>
        <v>OK</v>
      </c>
    </row>
    <row r="78" spans="1:6">
      <c r="A78" s="6" t="s">
        <v>94</v>
      </c>
      <c r="B78" s="6">
        <f>_xlfn.XLOOKUP(A78,Tbl_sales[SKU],Tbl_sales[Availability])</f>
        <v>97</v>
      </c>
      <c r="C78" s="6">
        <f>_xlfn.XLOOKUP(A78,Tbl_sales[SKU],Tbl_sales[Stock levels])</f>
        <v>90</v>
      </c>
      <c r="D78" s="6">
        <f>_xlfn.XLOOKUP(A78,Tbl_sales[SKU],Tbl_sales[Lead times])</f>
        <v>20</v>
      </c>
      <c r="E78" s="6">
        <f>_xlfn.XLOOKUP(A78,Tbl_sales[SKU],Tbl_sales[Shipping times])</f>
        <v>8</v>
      </c>
      <c r="F78" s="6" t="str">
        <f t="shared" si="2"/>
        <v>OK</v>
      </c>
    </row>
    <row r="79" spans="1:6">
      <c r="A79" s="6" t="s">
        <v>95</v>
      </c>
      <c r="B79" s="6">
        <f>_xlfn.XLOOKUP(A79,Tbl_sales[SKU],Tbl_sales[Availability])</f>
        <v>35</v>
      </c>
      <c r="C79" s="6">
        <f>_xlfn.XLOOKUP(A79,Tbl_sales[SKU],Tbl_sales[Stock levels])</f>
        <v>64</v>
      </c>
      <c r="D79" s="6">
        <f>_xlfn.XLOOKUP(A79,Tbl_sales[SKU],Tbl_sales[Lead times])</f>
        <v>19</v>
      </c>
      <c r="E79" s="6">
        <f>_xlfn.XLOOKUP(A79,Tbl_sales[SKU],Tbl_sales[Shipping times])</f>
        <v>8</v>
      </c>
      <c r="F79" s="6" t="str">
        <f t="shared" si="2"/>
        <v>OK</v>
      </c>
    </row>
    <row r="80" spans="1:6">
      <c r="A80" s="6" t="s">
        <v>96</v>
      </c>
      <c r="B80" s="6">
        <f>_xlfn.XLOOKUP(A80,Tbl_sales[SKU],Tbl_sales[Availability])</f>
        <v>98</v>
      </c>
      <c r="C80" s="6">
        <f>_xlfn.XLOOKUP(A80,Tbl_sales[SKU],Tbl_sales[Stock levels])</f>
        <v>22</v>
      </c>
      <c r="D80" s="6">
        <f>_xlfn.XLOOKUP(A80,Tbl_sales[SKU],Tbl_sales[Lead times])</f>
        <v>27</v>
      </c>
      <c r="E80" s="6">
        <f>_xlfn.XLOOKUP(A80,Tbl_sales[SKU],Tbl_sales[Shipping times])</f>
        <v>4</v>
      </c>
      <c r="F80" s="6" t="str">
        <f t="shared" si="2"/>
        <v>OK</v>
      </c>
    </row>
    <row r="81" spans="1:6">
      <c r="A81" s="6" t="s">
        <v>97</v>
      </c>
      <c r="B81" s="6">
        <f>_xlfn.XLOOKUP(A81,Tbl_sales[SKU],Tbl_sales[Availability])</f>
        <v>6</v>
      </c>
      <c r="C81" s="6">
        <f>_xlfn.XLOOKUP(A81,Tbl_sales[SKU],Tbl_sales[Stock levels])</f>
        <v>36</v>
      </c>
      <c r="D81" s="6">
        <f>_xlfn.XLOOKUP(A81,Tbl_sales[SKU],Tbl_sales[Lead times])</f>
        <v>29</v>
      </c>
      <c r="E81" s="6">
        <f>_xlfn.XLOOKUP(A81,Tbl_sales[SKU],Tbl_sales[Shipping times])</f>
        <v>9</v>
      </c>
      <c r="F81" s="6" t="str">
        <f t="shared" si="2"/>
        <v>OK</v>
      </c>
    </row>
    <row r="82" spans="1:6">
      <c r="A82" s="6" t="s">
        <v>98</v>
      </c>
      <c r="B82" s="6">
        <f>_xlfn.XLOOKUP(A82,Tbl_sales[SKU],Tbl_sales[Availability])</f>
        <v>34</v>
      </c>
      <c r="C82" s="6">
        <f>_xlfn.XLOOKUP(A82,Tbl_sales[SKU],Tbl_sales[Stock levels])</f>
        <v>13</v>
      </c>
      <c r="D82" s="6">
        <f>_xlfn.XLOOKUP(A82,Tbl_sales[SKU],Tbl_sales[Lead times])</f>
        <v>19</v>
      </c>
      <c r="E82" s="6">
        <f>_xlfn.XLOOKUP(A82,Tbl_sales[SKU],Tbl_sales[Shipping times])</f>
        <v>6</v>
      </c>
      <c r="F82" s="6" t="str">
        <f t="shared" si="2"/>
        <v>OK</v>
      </c>
    </row>
    <row r="83" spans="1:6">
      <c r="A83" s="6" t="s">
        <v>99</v>
      </c>
      <c r="B83" s="6">
        <f>_xlfn.XLOOKUP(A83,Tbl_sales[SKU],Tbl_sales[Availability])</f>
        <v>1</v>
      </c>
      <c r="C83" s="6">
        <f>_xlfn.XLOOKUP(A83,Tbl_sales[SKU],Tbl_sales[Stock levels])</f>
        <v>93</v>
      </c>
      <c r="D83" s="6">
        <f>_xlfn.XLOOKUP(A83,Tbl_sales[SKU],Tbl_sales[Lead times])</f>
        <v>7</v>
      </c>
      <c r="E83" s="6">
        <f>_xlfn.XLOOKUP(A83,Tbl_sales[SKU],Tbl_sales[Shipping times])</f>
        <v>6</v>
      </c>
      <c r="F83" s="6" t="str">
        <f t="shared" si="2"/>
        <v>OK</v>
      </c>
    </row>
    <row r="84" spans="1:6">
      <c r="A84" s="6" t="s">
        <v>100</v>
      </c>
      <c r="B84" s="6">
        <f>_xlfn.XLOOKUP(A84,Tbl_sales[SKU],Tbl_sales[Availability])</f>
        <v>75</v>
      </c>
      <c r="C84" s="6">
        <f>_xlfn.XLOOKUP(A84,Tbl_sales[SKU],Tbl_sales[Stock levels])</f>
        <v>92</v>
      </c>
      <c r="D84" s="6">
        <f>_xlfn.XLOOKUP(A84,Tbl_sales[SKU],Tbl_sales[Lead times])</f>
        <v>29</v>
      </c>
      <c r="E84" s="6">
        <f>_xlfn.XLOOKUP(A84,Tbl_sales[SKU],Tbl_sales[Shipping times])</f>
        <v>8</v>
      </c>
      <c r="F84" s="6" t="str">
        <f t="shared" si="2"/>
        <v>OK</v>
      </c>
    </row>
    <row r="85" spans="1:6">
      <c r="A85" s="6" t="s">
        <v>101</v>
      </c>
      <c r="B85" s="6">
        <f>_xlfn.XLOOKUP(A85,Tbl_sales[SKU],Tbl_sales[Availability])</f>
        <v>93</v>
      </c>
      <c r="C85" s="6">
        <f>_xlfn.XLOOKUP(A85,Tbl_sales[SKU],Tbl_sales[Stock levels])</f>
        <v>4</v>
      </c>
      <c r="D85" s="6">
        <f>_xlfn.XLOOKUP(A85,Tbl_sales[SKU],Tbl_sales[Lead times])</f>
        <v>15</v>
      </c>
      <c r="E85" s="6">
        <f>_xlfn.XLOOKUP(A85,Tbl_sales[SKU],Tbl_sales[Shipping times])</f>
        <v>9</v>
      </c>
      <c r="F85" s="6" t="str">
        <f t="shared" si="2"/>
        <v>Reorder</v>
      </c>
    </row>
    <row r="86" spans="1:6">
      <c r="A86" s="6" t="s">
        <v>102</v>
      </c>
      <c r="B86" s="6">
        <f>_xlfn.XLOOKUP(A86,Tbl_sales[SKU],Tbl_sales[Availability])</f>
        <v>28</v>
      </c>
      <c r="C86" s="6">
        <f>_xlfn.XLOOKUP(A86,Tbl_sales[SKU],Tbl_sales[Stock levels])</f>
        <v>30</v>
      </c>
      <c r="D86" s="6">
        <f>_xlfn.XLOOKUP(A86,Tbl_sales[SKU],Tbl_sales[Lead times])</f>
        <v>16</v>
      </c>
      <c r="E86" s="6">
        <f>_xlfn.XLOOKUP(A86,Tbl_sales[SKU],Tbl_sales[Shipping times])</f>
        <v>3</v>
      </c>
      <c r="F86" s="6" t="str">
        <f t="shared" si="2"/>
        <v>OK</v>
      </c>
    </row>
    <row r="87" spans="1:6">
      <c r="A87" s="6" t="s">
        <v>103</v>
      </c>
      <c r="B87" s="6">
        <f>_xlfn.XLOOKUP(A87,Tbl_sales[SKU],Tbl_sales[Availability])</f>
        <v>19</v>
      </c>
      <c r="C87" s="6">
        <f>_xlfn.XLOOKUP(A87,Tbl_sales[SKU],Tbl_sales[Stock levels])</f>
        <v>97</v>
      </c>
      <c r="D87" s="6">
        <f>_xlfn.XLOOKUP(A87,Tbl_sales[SKU],Tbl_sales[Lead times])</f>
        <v>24</v>
      </c>
      <c r="E87" s="6">
        <f>_xlfn.XLOOKUP(A87,Tbl_sales[SKU],Tbl_sales[Shipping times])</f>
        <v>6</v>
      </c>
      <c r="F87" s="6" t="str">
        <f t="shared" si="2"/>
        <v>OK</v>
      </c>
    </row>
    <row r="88" spans="1:6">
      <c r="A88" s="6" t="s">
        <v>104</v>
      </c>
      <c r="B88" s="6">
        <f>_xlfn.XLOOKUP(A88,Tbl_sales[SKU],Tbl_sales[Availability])</f>
        <v>91</v>
      </c>
      <c r="C88" s="6">
        <f>_xlfn.XLOOKUP(A88,Tbl_sales[SKU],Tbl_sales[Stock levels])</f>
        <v>31</v>
      </c>
      <c r="D88" s="6">
        <f>_xlfn.XLOOKUP(A88,Tbl_sales[SKU],Tbl_sales[Lead times])</f>
        <v>23</v>
      </c>
      <c r="E88" s="6">
        <f>_xlfn.XLOOKUP(A88,Tbl_sales[SKU],Tbl_sales[Shipping times])</f>
        <v>10</v>
      </c>
      <c r="F88" s="6" t="str">
        <f t="shared" si="2"/>
        <v>OK</v>
      </c>
    </row>
    <row r="89" spans="1:6">
      <c r="A89" s="6" t="s">
        <v>105</v>
      </c>
      <c r="B89" s="6">
        <f>_xlfn.XLOOKUP(A89,Tbl_sales[SKU],Tbl_sales[Availability])</f>
        <v>61</v>
      </c>
      <c r="C89" s="6">
        <f>_xlfn.XLOOKUP(A89,Tbl_sales[SKU],Tbl_sales[Stock levels])</f>
        <v>100</v>
      </c>
      <c r="D89" s="6">
        <f>_xlfn.XLOOKUP(A89,Tbl_sales[SKU],Tbl_sales[Lead times])</f>
        <v>4</v>
      </c>
      <c r="E89" s="6">
        <f>_xlfn.XLOOKUP(A89,Tbl_sales[SKU],Tbl_sales[Shipping times])</f>
        <v>1</v>
      </c>
      <c r="F89" s="6" t="str">
        <f t="shared" si="2"/>
        <v>OK</v>
      </c>
    </row>
    <row r="90" spans="1:6">
      <c r="A90" s="6" t="s">
        <v>106</v>
      </c>
      <c r="B90" s="6">
        <f>_xlfn.XLOOKUP(A90,Tbl_sales[SKU],Tbl_sales[Availability])</f>
        <v>1</v>
      </c>
      <c r="C90" s="6">
        <f>_xlfn.XLOOKUP(A90,Tbl_sales[SKU],Tbl_sales[Stock levels])</f>
        <v>64</v>
      </c>
      <c r="D90" s="6">
        <f>_xlfn.XLOOKUP(A90,Tbl_sales[SKU],Tbl_sales[Lead times])</f>
        <v>11</v>
      </c>
      <c r="E90" s="6">
        <f>_xlfn.XLOOKUP(A90,Tbl_sales[SKU],Tbl_sales[Shipping times])</f>
        <v>1</v>
      </c>
      <c r="F90" s="6" t="str">
        <f t="shared" si="2"/>
        <v>OK</v>
      </c>
    </row>
    <row r="91" spans="1:6">
      <c r="A91" s="6" t="s">
        <v>107</v>
      </c>
      <c r="B91" s="6">
        <f>_xlfn.XLOOKUP(A91,Tbl_sales[SKU],Tbl_sales[Availability])</f>
        <v>93</v>
      </c>
      <c r="C91" s="6">
        <f>_xlfn.XLOOKUP(A91,Tbl_sales[SKU],Tbl_sales[Stock levels])</f>
        <v>96</v>
      </c>
      <c r="D91" s="6">
        <f>_xlfn.XLOOKUP(A91,Tbl_sales[SKU],Tbl_sales[Lead times])</f>
        <v>25</v>
      </c>
      <c r="E91" s="6">
        <f>_xlfn.XLOOKUP(A91,Tbl_sales[SKU],Tbl_sales[Shipping times])</f>
        <v>3</v>
      </c>
      <c r="F91" s="6" t="str">
        <f t="shared" si="2"/>
        <v>OK</v>
      </c>
    </row>
    <row r="92" spans="1:6">
      <c r="A92" s="6" t="s">
        <v>108</v>
      </c>
      <c r="B92" s="6">
        <f>_xlfn.XLOOKUP(A92,Tbl_sales[SKU],Tbl_sales[Availability])</f>
        <v>11</v>
      </c>
      <c r="C92" s="6">
        <f>_xlfn.XLOOKUP(A92,Tbl_sales[SKU],Tbl_sales[Stock levels])</f>
        <v>33</v>
      </c>
      <c r="D92" s="6">
        <f>_xlfn.XLOOKUP(A92,Tbl_sales[SKU],Tbl_sales[Lead times])</f>
        <v>22</v>
      </c>
      <c r="E92" s="6">
        <f>_xlfn.XLOOKUP(A92,Tbl_sales[SKU],Tbl_sales[Shipping times])</f>
        <v>3</v>
      </c>
      <c r="F92" s="6" t="str">
        <f t="shared" si="2"/>
        <v>OK</v>
      </c>
    </row>
    <row r="93" spans="1:6">
      <c r="A93" s="6" t="s">
        <v>109</v>
      </c>
      <c r="B93" s="6">
        <f>_xlfn.XLOOKUP(A93,Tbl_sales[SKU],Tbl_sales[Availability])</f>
        <v>16</v>
      </c>
      <c r="C93" s="6">
        <f>_xlfn.XLOOKUP(A93,Tbl_sales[SKU],Tbl_sales[Stock levels])</f>
        <v>97</v>
      </c>
      <c r="D93" s="6">
        <f>_xlfn.XLOOKUP(A93,Tbl_sales[SKU],Tbl_sales[Lead times])</f>
        <v>11</v>
      </c>
      <c r="E93" s="6">
        <f>_xlfn.XLOOKUP(A93,Tbl_sales[SKU],Tbl_sales[Shipping times])</f>
        <v>5</v>
      </c>
      <c r="F93" s="6" t="str">
        <f t="shared" si="2"/>
        <v>OK</v>
      </c>
    </row>
    <row r="94" spans="1:6">
      <c r="A94" s="6" t="s">
        <v>110</v>
      </c>
      <c r="B94" s="6">
        <f>_xlfn.XLOOKUP(A94,Tbl_sales[SKU],Tbl_sales[Availability])</f>
        <v>90</v>
      </c>
      <c r="C94" s="6">
        <f>_xlfn.XLOOKUP(A94,Tbl_sales[SKU],Tbl_sales[Stock levels])</f>
        <v>25</v>
      </c>
      <c r="D94" s="6">
        <f>_xlfn.XLOOKUP(A94,Tbl_sales[SKU],Tbl_sales[Lead times])</f>
        <v>23</v>
      </c>
      <c r="E94" s="6">
        <f>_xlfn.XLOOKUP(A94,Tbl_sales[SKU],Tbl_sales[Shipping times])</f>
        <v>5</v>
      </c>
      <c r="F94" s="6" t="str">
        <f t="shared" si="2"/>
        <v>OK</v>
      </c>
    </row>
    <row r="95" spans="1:6">
      <c r="A95" s="6" t="s">
        <v>111</v>
      </c>
      <c r="B95" s="6">
        <f>_xlfn.XLOOKUP(A95,Tbl_sales[SKU],Tbl_sales[Availability])</f>
        <v>65</v>
      </c>
      <c r="C95" s="6">
        <f>_xlfn.XLOOKUP(A95,Tbl_sales[SKU],Tbl_sales[Stock levels])</f>
        <v>5</v>
      </c>
      <c r="D95" s="6">
        <f>_xlfn.XLOOKUP(A95,Tbl_sales[SKU],Tbl_sales[Lead times])</f>
        <v>18</v>
      </c>
      <c r="E95" s="6">
        <f>_xlfn.XLOOKUP(A95,Tbl_sales[SKU],Tbl_sales[Shipping times])</f>
        <v>1</v>
      </c>
      <c r="F95" s="6" t="str">
        <f t="shared" si="2"/>
        <v>Reorder</v>
      </c>
    </row>
    <row r="96" spans="1:6">
      <c r="A96" s="6" t="s">
        <v>112</v>
      </c>
      <c r="B96" s="6">
        <f>_xlfn.XLOOKUP(A96,Tbl_sales[SKU],Tbl_sales[Availability])</f>
        <v>81</v>
      </c>
      <c r="C96" s="6">
        <f>_xlfn.XLOOKUP(A96,Tbl_sales[SKU],Tbl_sales[Stock levels])</f>
        <v>10</v>
      </c>
      <c r="D96" s="6">
        <f>_xlfn.XLOOKUP(A96,Tbl_sales[SKU],Tbl_sales[Lead times])</f>
        <v>5</v>
      </c>
      <c r="E96" s="6">
        <f>_xlfn.XLOOKUP(A96,Tbl_sales[SKU],Tbl_sales[Shipping times])</f>
        <v>7</v>
      </c>
      <c r="F96" s="6" t="str">
        <f t="shared" si="2"/>
        <v>Reorder</v>
      </c>
    </row>
    <row r="97" spans="1:6">
      <c r="A97" s="6" t="s">
        <v>113</v>
      </c>
      <c r="B97" s="6">
        <f>_xlfn.XLOOKUP(A97,Tbl_sales[SKU],Tbl_sales[Availability])</f>
        <v>30</v>
      </c>
      <c r="C97" s="6">
        <f>_xlfn.XLOOKUP(A97,Tbl_sales[SKU],Tbl_sales[Stock levels])</f>
        <v>100</v>
      </c>
      <c r="D97" s="6">
        <f>_xlfn.XLOOKUP(A97,Tbl_sales[SKU],Tbl_sales[Lead times])</f>
        <v>16</v>
      </c>
      <c r="E97" s="6">
        <f>_xlfn.XLOOKUP(A97,Tbl_sales[SKU],Tbl_sales[Shipping times])</f>
        <v>7</v>
      </c>
      <c r="F97" s="6" t="str">
        <f t="shared" si="2"/>
        <v>OK</v>
      </c>
    </row>
    <row r="98" spans="1:6">
      <c r="A98" s="6" t="s">
        <v>114</v>
      </c>
      <c r="B98" s="6">
        <f>_xlfn.XLOOKUP(A98,Tbl_sales[SKU],Tbl_sales[Availability])</f>
        <v>16</v>
      </c>
      <c r="C98" s="6">
        <f>_xlfn.XLOOKUP(A98,Tbl_sales[SKU],Tbl_sales[Stock levels])</f>
        <v>41</v>
      </c>
      <c r="D98" s="6">
        <f>_xlfn.XLOOKUP(A98,Tbl_sales[SKU],Tbl_sales[Lead times])</f>
        <v>27</v>
      </c>
      <c r="E98" s="6">
        <f>_xlfn.XLOOKUP(A98,Tbl_sales[SKU],Tbl_sales[Shipping times])</f>
        <v>8</v>
      </c>
      <c r="F98" s="6" t="str">
        <f t="shared" si="2"/>
        <v>OK</v>
      </c>
    </row>
    <row r="99" spans="1:6">
      <c r="A99" s="6" t="s">
        <v>115</v>
      </c>
      <c r="B99" s="6">
        <f>_xlfn.XLOOKUP(A99,Tbl_sales[SKU],Tbl_sales[Availability])</f>
        <v>23</v>
      </c>
      <c r="C99" s="6">
        <f>_xlfn.XLOOKUP(A99,Tbl_sales[SKU],Tbl_sales[Stock levels])</f>
        <v>32</v>
      </c>
      <c r="D99" s="6">
        <f>_xlfn.XLOOKUP(A99,Tbl_sales[SKU],Tbl_sales[Lead times])</f>
        <v>23</v>
      </c>
      <c r="E99" s="6">
        <f>_xlfn.XLOOKUP(A99,Tbl_sales[SKU],Tbl_sales[Shipping times])</f>
        <v>7</v>
      </c>
      <c r="F99" s="6" t="str">
        <f t="shared" si="2"/>
        <v>OK</v>
      </c>
    </row>
    <row r="100" spans="1:6">
      <c r="A100" s="6" t="s">
        <v>116</v>
      </c>
      <c r="B100" s="6">
        <f>_xlfn.XLOOKUP(A100,Tbl_sales[SKU],Tbl_sales[Availability])</f>
        <v>89</v>
      </c>
      <c r="C100" s="6">
        <f>_xlfn.XLOOKUP(A100,Tbl_sales[SKU],Tbl_sales[Stock levels])</f>
        <v>86</v>
      </c>
      <c r="D100" s="6">
        <f>_xlfn.XLOOKUP(A100,Tbl_sales[SKU],Tbl_sales[Lead times])</f>
        <v>2</v>
      </c>
      <c r="E100" s="6">
        <f>_xlfn.XLOOKUP(A100,Tbl_sales[SKU],Tbl_sales[Shipping times])</f>
        <v>7</v>
      </c>
      <c r="F100" s="6" t="str">
        <f t="shared" si="2"/>
        <v>OK</v>
      </c>
    </row>
    <row r="101" spans="1:6">
      <c r="A101" s="6" t="s">
        <v>117</v>
      </c>
      <c r="B101" s="6">
        <f>_xlfn.XLOOKUP(A101,Tbl_sales[SKU],Tbl_sales[Availability])</f>
        <v>55</v>
      </c>
      <c r="C101" s="6">
        <f>_xlfn.XLOOKUP(A101,Tbl_sales[SKU],Tbl_sales[Stock levels])</f>
        <v>54</v>
      </c>
      <c r="D101" s="6">
        <f>_xlfn.XLOOKUP(A101,Tbl_sales[SKU],Tbl_sales[Lead times])</f>
        <v>19</v>
      </c>
      <c r="E101" s="6">
        <f>_xlfn.XLOOKUP(A101,Tbl_sales[SKU],Tbl_sales[Shipping times])</f>
        <v>4</v>
      </c>
      <c r="F101" s="6" t="str">
        <f t="shared" si="2"/>
        <v>OK</v>
      </c>
    </row>
    <row r="102" spans="1:6">
      <c r="A102" s="6" t="s">
        <v>118</v>
      </c>
      <c r="B102" s="6">
        <f>_xlfn.XLOOKUP(A102,Tbl_sales[SKU],Tbl_sales[Availability])</f>
        <v>11</v>
      </c>
      <c r="C102" s="6">
        <f>_xlfn.XLOOKUP(A102,Tbl_sales[SKU],Tbl_sales[Stock levels])</f>
        <v>73</v>
      </c>
      <c r="D102" s="6">
        <f>_xlfn.XLOOKUP(A102,Tbl_sales[SKU],Tbl_sales[Lead times])</f>
        <v>27</v>
      </c>
      <c r="E102" s="6">
        <f>_xlfn.XLOOKUP(A102,Tbl_sales[SKU],Tbl_sales[Shipping times])</f>
        <v>6</v>
      </c>
      <c r="F102" s="6" t="str">
        <f t="shared" si="2"/>
        <v>OK</v>
      </c>
    </row>
    <row r="103" spans="1:6">
      <c r="A103" s="6" t="s">
        <v>119</v>
      </c>
      <c r="B103" s="6">
        <f>_xlfn.XLOOKUP(A103,Tbl_sales[SKU],Tbl_sales[Availability])</f>
        <v>72</v>
      </c>
      <c r="C103" s="6">
        <f>_xlfn.XLOOKUP(A103,Tbl_sales[SKU],Tbl_sales[Stock levels])</f>
        <v>57</v>
      </c>
      <c r="D103" s="6">
        <f>_xlfn.XLOOKUP(A103,Tbl_sales[SKU],Tbl_sales[Lead times])</f>
        <v>24</v>
      </c>
      <c r="E103" s="6">
        <f>_xlfn.XLOOKUP(A103,Tbl_sales[SKU],Tbl_sales[Shipping times])</f>
        <v>8</v>
      </c>
      <c r="F103" s="6" t="str">
        <f t="shared" si="2"/>
        <v>OK</v>
      </c>
    </row>
    <row r="104" spans="1:6">
      <c r="A104" s="6" t="s">
        <v>120</v>
      </c>
      <c r="B104" s="6">
        <f>_xlfn.XLOOKUP(A104,Tbl_sales[SKU],Tbl_sales[Availability])</f>
        <v>52</v>
      </c>
      <c r="C104" s="6">
        <f>_xlfn.XLOOKUP(A104,Tbl_sales[SKU],Tbl_sales[Stock levels])</f>
        <v>13</v>
      </c>
      <c r="D104" s="6">
        <f>_xlfn.XLOOKUP(A104,Tbl_sales[SKU],Tbl_sales[Lead times])</f>
        <v>17</v>
      </c>
      <c r="E104" s="6">
        <f>_xlfn.XLOOKUP(A104,Tbl_sales[SKU],Tbl_sales[Shipping times])</f>
        <v>8</v>
      </c>
      <c r="F104" s="6" t="str">
        <f t="shared" si="2"/>
        <v>OK</v>
      </c>
    </row>
    <row r="105" spans="1:6">
      <c r="A105" s="6" t="s">
        <v>121</v>
      </c>
      <c r="B105" s="6">
        <f>_xlfn.XLOOKUP(A105,Tbl_sales[SKU],Tbl_sales[Availability])</f>
        <v>16</v>
      </c>
      <c r="C105" s="6">
        <f>_xlfn.XLOOKUP(A105,Tbl_sales[SKU],Tbl_sales[Stock levels])</f>
        <v>12</v>
      </c>
      <c r="D105" s="6">
        <f>_xlfn.XLOOKUP(A105,Tbl_sales[SKU],Tbl_sales[Lead times])</f>
        <v>9</v>
      </c>
      <c r="E105" s="6">
        <f>_xlfn.XLOOKUP(A105,Tbl_sales[SKU],Tbl_sales[Shipping times])</f>
        <v>9</v>
      </c>
      <c r="F105" s="6" t="str">
        <f t="shared" si="2"/>
        <v>OK</v>
      </c>
    </row>
    <row r="106" spans="1:6">
      <c r="A106" s="6" t="s">
        <v>122</v>
      </c>
      <c r="B106" s="6">
        <f>_xlfn.XLOOKUP(A106,Tbl_sales[SKU],Tbl_sales[Availability])</f>
        <v>29</v>
      </c>
      <c r="C106" s="6">
        <f>_xlfn.XLOOKUP(A106,Tbl_sales[SKU],Tbl_sales[Stock levels])</f>
        <v>0</v>
      </c>
      <c r="D106" s="6">
        <f>_xlfn.XLOOKUP(A106,Tbl_sales[SKU],Tbl_sales[Lead times])</f>
        <v>8</v>
      </c>
      <c r="E106" s="6">
        <f>_xlfn.XLOOKUP(A106,Tbl_sales[SKU],Tbl_sales[Shipping times])</f>
        <v>8</v>
      </c>
      <c r="F106" s="6" t="str">
        <f t="shared" si="2"/>
        <v>Reorder</v>
      </c>
    </row>
    <row r="107" spans="1:6">
      <c r="A107" s="6" t="s">
        <v>123</v>
      </c>
      <c r="B107" s="6">
        <f>_xlfn.XLOOKUP(A107,Tbl_sales[SKU],Tbl_sales[Availability])</f>
        <v>62</v>
      </c>
      <c r="C107" s="6">
        <f>_xlfn.XLOOKUP(A107,Tbl_sales[SKU],Tbl_sales[Stock levels])</f>
        <v>95</v>
      </c>
      <c r="D107" s="6">
        <f>_xlfn.XLOOKUP(A107,Tbl_sales[SKU],Tbl_sales[Lead times])</f>
        <v>1</v>
      </c>
      <c r="E107" s="6">
        <f>_xlfn.XLOOKUP(A107,Tbl_sales[SKU],Tbl_sales[Shipping times])</f>
        <v>3</v>
      </c>
      <c r="F107" s="6" t="str">
        <f t="shared" si="2"/>
        <v>OK</v>
      </c>
    </row>
    <row r="108" spans="1:6">
      <c r="A108" s="6" t="s">
        <v>124</v>
      </c>
      <c r="B108" s="6">
        <f>_xlfn.XLOOKUP(A108,Tbl_sales[SKU],Tbl_sales[Availability])</f>
        <v>90</v>
      </c>
      <c r="C108" s="6">
        <f>_xlfn.XLOOKUP(A108,Tbl_sales[SKU],Tbl_sales[Stock levels])</f>
        <v>10</v>
      </c>
      <c r="D108" s="6">
        <f>_xlfn.XLOOKUP(A108,Tbl_sales[SKU],Tbl_sales[Lead times])</f>
        <v>12</v>
      </c>
      <c r="E108" s="6">
        <f>_xlfn.XLOOKUP(A108,Tbl_sales[SKU],Tbl_sales[Shipping times])</f>
        <v>4</v>
      </c>
      <c r="F108" s="6" t="str">
        <f t="shared" si="2"/>
        <v>Reorder</v>
      </c>
    </row>
    <row r="109" spans="1:6">
      <c r="A109" s="6" t="s">
        <v>125</v>
      </c>
      <c r="B109" s="6">
        <f>_xlfn.XLOOKUP(A109,Tbl_sales[SKU],Tbl_sales[Availability])</f>
        <v>14</v>
      </c>
      <c r="C109" s="6">
        <f>_xlfn.XLOOKUP(A109,Tbl_sales[SKU],Tbl_sales[Stock levels])</f>
        <v>76</v>
      </c>
      <c r="D109" s="6">
        <f>_xlfn.XLOOKUP(A109,Tbl_sales[SKU],Tbl_sales[Lead times])</f>
        <v>2</v>
      </c>
      <c r="E109" s="6">
        <f>_xlfn.XLOOKUP(A109,Tbl_sales[SKU],Tbl_sales[Shipping times])</f>
        <v>6</v>
      </c>
      <c r="F109" s="6" t="str">
        <f t="shared" si="2"/>
        <v>OK</v>
      </c>
    </row>
    <row r="110" spans="1:6">
      <c r="A110" s="6" t="s">
        <v>126</v>
      </c>
      <c r="B110" s="6">
        <f>_xlfn.XLOOKUP(A110,Tbl_sales[SKU],Tbl_sales[Availability])</f>
        <v>88</v>
      </c>
      <c r="C110" s="6">
        <f>_xlfn.XLOOKUP(A110,Tbl_sales[SKU],Tbl_sales[Stock levels])</f>
        <v>57</v>
      </c>
      <c r="D110" s="6">
        <f>_xlfn.XLOOKUP(A110,Tbl_sales[SKU],Tbl_sales[Lead times])</f>
        <v>29</v>
      </c>
      <c r="E110" s="6">
        <f>_xlfn.XLOOKUP(A110,Tbl_sales[SKU],Tbl_sales[Shipping times])</f>
        <v>9</v>
      </c>
      <c r="F110" s="6" t="str">
        <f t="shared" si="2"/>
        <v>OK</v>
      </c>
    </row>
    <row r="111" spans="1:6">
      <c r="A111" s="6" t="s">
        <v>127</v>
      </c>
      <c r="B111" s="6">
        <f>_xlfn.XLOOKUP(A111,Tbl_sales[SKU],Tbl_sales[Availability])</f>
        <v>41</v>
      </c>
      <c r="C111" s="6">
        <f>_xlfn.XLOOKUP(A111,Tbl_sales[SKU],Tbl_sales[Stock levels])</f>
        <v>17</v>
      </c>
      <c r="D111" s="6">
        <f>_xlfn.XLOOKUP(A111,Tbl_sales[SKU],Tbl_sales[Lead times])</f>
        <v>25</v>
      </c>
      <c r="E111" s="6">
        <f>_xlfn.XLOOKUP(A111,Tbl_sales[SKU],Tbl_sales[Shipping times])</f>
        <v>5</v>
      </c>
      <c r="F111" s="6" t="str">
        <f t="shared" si="2"/>
        <v>OK</v>
      </c>
    </row>
    <row r="112" spans="1:6">
      <c r="A112" s="6" t="s">
        <v>128</v>
      </c>
      <c r="B112" s="6">
        <f>_xlfn.XLOOKUP(A112,Tbl_sales[SKU],Tbl_sales[Availability])</f>
        <v>64</v>
      </c>
      <c r="C112" s="6">
        <f>_xlfn.XLOOKUP(A112,Tbl_sales[SKU],Tbl_sales[Stock levels])</f>
        <v>41</v>
      </c>
      <c r="D112" s="6">
        <f>_xlfn.XLOOKUP(A112,Tbl_sales[SKU],Tbl_sales[Lead times])</f>
        <v>6</v>
      </c>
      <c r="E112" s="6">
        <f>_xlfn.XLOOKUP(A112,Tbl_sales[SKU],Tbl_sales[Shipping times])</f>
        <v>5</v>
      </c>
      <c r="F112" s="6" t="str">
        <f t="shared" si="2"/>
        <v>OK</v>
      </c>
    </row>
    <row r="113" spans="1:6">
      <c r="A113" s="6" t="s">
        <v>129</v>
      </c>
      <c r="B113" s="6">
        <f>_xlfn.XLOOKUP(A113,Tbl_sales[SKU],Tbl_sales[Availability])</f>
        <v>29</v>
      </c>
      <c r="C113" s="6">
        <f>_xlfn.XLOOKUP(A113,Tbl_sales[SKU],Tbl_sales[Stock levels])</f>
        <v>16</v>
      </c>
      <c r="D113" s="6">
        <f>_xlfn.XLOOKUP(A113,Tbl_sales[SKU],Tbl_sales[Lead times])</f>
        <v>20</v>
      </c>
      <c r="E113" s="6">
        <f>_xlfn.XLOOKUP(A113,Tbl_sales[SKU],Tbl_sales[Shipping times])</f>
        <v>10</v>
      </c>
      <c r="F113" s="6" t="str">
        <f t="shared" si="2"/>
        <v>OK</v>
      </c>
    </row>
    <row r="114" spans="1:6">
      <c r="A114" s="6" t="s">
        <v>130</v>
      </c>
      <c r="B114" s="6">
        <f>_xlfn.XLOOKUP(A114,Tbl_sales[SKU],Tbl_sales[Availability])</f>
        <v>23</v>
      </c>
      <c r="C114" s="6">
        <f>_xlfn.XLOOKUP(A114,Tbl_sales[SKU],Tbl_sales[Stock levels])</f>
        <v>38</v>
      </c>
      <c r="D114" s="6">
        <f>_xlfn.XLOOKUP(A114,Tbl_sales[SKU],Tbl_sales[Lead times])</f>
        <v>1</v>
      </c>
      <c r="E114" s="6">
        <f>_xlfn.XLOOKUP(A114,Tbl_sales[SKU],Tbl_sales[Shipping times])</f>
        <v>10</v>
      </c>
      <c r="F114" s="6" t="str">
        <f t="shared" si="2"/>
        <v>OK</v>
      </c>
    </row>
    <row r="115" spans="1:6">
      <c r="A115" s="6" t="s">
        <v>131</v>
      </c>
      <c r="B115" s="6">
        <f>_xlfn.XLOOKUP(A115,Tbl_sales[SKU],Tbl_sales[Availability])</f>
        <v>14</v>
      </c>
      <c r="C115" s="6">
        <f>_xlfn.XLOOKUP(A115,Tbl_sales[SKU],Tbl_sales[Stock levels])</f>
        <v>96</v>
      </c>
      <c r="D115" s="6">
        <f>_xlfn.XLOOKUP(A115,Tbl_sales[SKU],Tbl_sales[Lead times])</f>
        <v>28</v>
      </c>
      <c r="E115" s="6">
        <f>_xlfn.XLOOKUP(A115,Tbl_sales[SKU],Tbl_sales[Shipping times])</f>
        <v>4</v>
      </c>
      <c r="F115" s="6" t="str">
        <f t="shared" si="2"/>
        <v>OK</v>
      </c>
    </row>
    <row r="116" spans="1:6">
      <c r="A116" s="6" t="s">
        <v>132</v>
      </c>
      <c r="B116" s="6">
        <f>_xlfn.XLOOKUP(A116,Tbl_sales[SKU],Tbl_sales[Availability])</f>
        <v>50</v>
      </c>
      <c r="C116" s="6">
        <f>_xlfn.XLOOKUP(A116,Tbl_sales[SKU],Tbl_sales[Stock levels])</f>
        <v>5</v>
      </c>
      <c r="D116" s="6">
        <f>_xlfn.XLOOKUP(A116,Tbl_sales[SKU],Tbl_sales[Lead times])</f>
        <v>4</v>
      </c>
      <c r="E116" s="6">
        <f>_xlfn.XLOOKUP(A116,Tbl_sales[SKU],Tbl_sales[Shipping times])</f>
        <v>5</v>
      </c>
      <c r="F116" s="6" t="str">
        <f t="shared" si="2"/>
        <v>Reorder</v>
      </c>
    </row>
    <row r="117" spans="1:6">
      <c r="A117" s="6" t="s">
        <v>133</v>
      </c>
      <c r="B117" s="6">
        <f>_xlfn.XLOOKUP(A117,Tbl_sales[SKU],Tbl_sales[Availability])</f>
        <v>56</v>
      </c>
      <c r="C117" s="6">
        <f>_xlfn.XLOOKUP(A117,Tbl_sales[SKU],Tbl_sales[Stock levels])</f>
        <v>31</v>
      </c>
      <c r="D117" s="6">
        <f>_xlfn.XLOOKUP(A117,Tbl_sales[SKU],Tbl_sales[Lead times])</f>
        <v>25</v>
      </c>
      <c r="E117" s="6">
        <f>_xlfn.XLOOKUP(A117,Tbl_sales[SKU],Tbl_sales[Shipping times])</f>
        <v>1</v>
      </c>
      <c r="F117" s="6" t="str">
        <f t="shared" si="2"/>
        <v>OK</v>
      </c>
    </row>
    <row r="118" spans="1:6">
      <c r="A118" s="6" t="s">
        <v>134</v>
      </c>
      <c r="B118" s="6">
        <f>_xlfn.XLOOKUP(A118,Tbl_sales[SKU],Tbl_sales[Availability])</f>
        <v>75</v>
      </c>
      <c r="C118" s="6">
        <f>_xlfn.XLOOKUP(A118,Tbl_sales[SKU],Tbl_sales[Stock levels])</f>
        <v>39</v>
      </c>
      <c r="D118" s="6">
        <f>_xlfn.XLOOKUP(A118,Tbl_sales[SKU],Tbl_sales[Lead times])</f>
        <v>14</v>
      </c>
      <c r="E118" s="6">
        <f>_xlfn.XLOOKUP(A118,Tbl_sales[SKU],Tbl_sales[Shipping times])</f>
        <v>2</v>
      </c>
      <c r="F118" s="6" t="str">
        <f t="shared" si="2"/>
        <v>OK</v>
      </c>
    </row>
    <row r="119" spans="1:6">
      <c r="A119" s="6" t="s">
        <v>135</v>
      </c>
      <c r="B119" s="6">
        <f>_xlfn.XLOOKUP(A119,Tbl_sales[SKU],Tbl_sales[Availability])</f>
        <v>9</v>
      </c>
      <c r="C119" s="6">
        <f>_xlfn.XLOOKUP(A119,Tbl_sales[SKU],Tbl_sales[Stock levels])</f>
        <v>48</v>
      </c>
      <c r="D119" s="6">
        <f>_xlfn.XLOOKUP(A119,Tbl_sales[SKU],Tbl_sales[Lead times])</f>
        <v>6</v>
      </c>
      <c r="E119" s="6">
        <f>_xlfn.XLOOKUP(A119,Tbl_sales[SKU],Tbl_sales[Shipping times])</f>
        <v>5</v>
      </c>
      <c r="F119" s="6" t="str">
        <f t="shared" si="2"/>
        <v>OK</v>
      </c>
    </row>
    <row r="120" spans="1:6">
      <c r="A120" s="6" t="s">
        <v>136</v>
      </c>
      <c r="B120" s="6">
        <f>_xlfn.XLOOKUP(A120,Tbl_sales[SKU],Tbl_sales[Availability])</f>
        <v>13</v>
      </c>
      <c r="C120" s="6">
        <f>_xlfn.XLOOKUP(A120,Tbl_sales[SKU],Tbl_sales[Stock levels])</f>
        <v>42</v>
      </c>
      <c r="D120" s="6">
        <f>_xlfn.XLOOKUP(A120,Tbl_sales[SKU],Tbl_sales[Lead times])</f>
        <v>19</v>
      </c>
      <c r="E120" s="6">
        <f>_xlfn.XLOOKUP(A120,Tbl_sales[SKU],Tbl_sales[Shipping times])</f>
        <v>1</v>
      </c>
      <c r="F120" s="6" t="str">
        <f t="shared" si="2"/>
        <v>OK</v>
      </c>
    </row>
    <row r="121" spans="1:6">
      <c r="A121" s="6" t="s">
        <v>137</v>
      </c>
      <c r="B121" s="6">
        <f>_xlfn.XLOOKUP(A121,Tbl_sales[SKU],Tbl_sales[Availability])</f>
        <v>82</v>
      </c>
      <c r="C121" s="6">
        <f>_xlfn.XLOOKUP(A121,Tbl_sales[SKU],Tbl_sales[Stock levels])</f>
        <v>65</v>
      </c>
      <c r="D121" s="6">
        <f>_xlfn.XLOOKUP(A121,Tbl_sales[SKU],Tbl_sales[Lead times])</f>
        <v>24</v>
      </c>
      <c r="E121" s="6">
        <f>_xlfn.XLOOKUP(A121,Tbl_sales[SKU],Tbl_sales[Shipping times])</f>
        <v>8</v>
      </c>
      <c r="F121" s="6" t="str">
        <f t="shared" si="2"/>
        <v>OK</v>
      </c>
    </row>
    <row r="122" spans="1:6">
      <c r="A122" s="6" t="s">
        <v>138</v>
      </c>
      <c r="B122" s="6">
        <f>_xlfn.XLOOKUP(A122,Tbl_sales[SKU],Tbl_sales[Availability])</f>
        <v>99</v>
      </c>
      <c r="C122" s="6">
        <f>_xlfn.XLOOKUP(A122,Tbl_sales[SKU],Tbl_sales[Stock levels])</f>
        <v>73</v>
      </c>
      <c r="D122" s="6">
        <f>_xlfn.XLOOKUP(A122,Tbl_sales[SKU],Tbl_sales[Lead times])</f>
        <v>26</v>
      </c>
      <c r="E122" s="6">
        <f>_xlfn.XLOOKUP(A122,Tbl_sales[SKU],Tbl_sales[Shipping times])</f>
        <v>10</v>
      </c>
      <c r="F122" s="6" t="str">
        <f t="shared" si="2"/>
        <v>OK</v>
      </c>
    </row>
    <row r="123" spans="1:6">
      <c r="A123" s="6" t="s">
        <v>139</v>
      </c>
      <c r="B123" s="6">
        <f>_xlfn.XLOOKUP(A123,Tbl_sales[SKU],Tbl_sales[Availability])</f>
        <v>83</v>
      </c>
      <c r="C123" s="6">
        <f>_xlfn.XLOOKUP(A123,Tbl_sales[SKU],Tbl_sales[Stock levels])</f>
        <v>15</v>
      </c>
      <c r="D123" s="6">
        <f>_xlfn.XLOOKUP(A123,Tbl_sales[SKU],Tbl_sales[Lead times])</f>
        <v>18</v>
      </c>
      <c r="E123" s="6">
        <f>_xlfn.XLOOKUP(A123,Tbl_sales[SKU],Tbl_sales[Shipping times])</f>
        <v>2</v>
      </c>
      <c r="F123" s="6" t="str">
        <f t="shared" si="2"/>
        <v>OK</v>
      </c>
    </row>
    <row r="124" spans="1:6">
      <c r="A124" s="6" t="s">
        <v>140</v>
      </c>
      <c r="B124" s="6">
        <f>_xlfn.XLOOKUP(A124,Tbl_sales[SKU],Tbl_sales[Availability])</f>
        <v>18</v>
      </c>
      <c r="C124" s="6">
        <f>_xlfn.XLOOKUP(A124,Tbl_sales[SKU],Tbl_sales[Stock levels])</f>
        <v>32</v>
      </c>
      <c r="D124" s="6">
        <f>_xlfn.XLOOKUP(A124,Tbl_sales[SKU],Tbl_sales[Lead times])</f>
        <v>14</v>
      </c>
      <c r="E124" s="6">
        <f>_xlfn.XLOOKUP(A124,Tbl_sales[SKU],Tbl_sales[Shipping times])</f>
        <v>6</v>
      </c>
      <c r="F124" s="6" t="str">
        <f t="shared" si="2"/>
        <v>OK</v>
      </c>
    </row>
    <row r="125" spans="1:6">
      <c r="A125" s="6" t="s">
        <v>141</v>
      </c>
      <c r="B125" s="6">
        <f>_xlfn.XLOOKUP(A125,Tbl_sales[SKU],Tbl_sales[Availability])</f>
        <v>24</v>
      </c>
      <c r="C125" s="6">
        <f>_xlfn.XLOOKUP(A125,Tbl_sales[SKU],Tbl_sales[Stock levels])</f>
        <v>5</v>
      </c>
      <c r="D125" s="6">
        <f>_xlfn.XLOOKUP(A125,Tbl_sales[SKU],Tbl_sales[Lead times])</f>
        <v>7</v>
      </c>
      <c r="E125" s="6">
        <f>_xlfn.XLOOKUP(A125,Tbl_sales[SKU],Tbl_sales[Shipping times])</f>
        <v>10</v>
      </c>
      <c r="F125" s="6" t="str">
        <f t="shared" si="2"/>
        <v>Reorder</v>
      </c>
    </row>
    <row r="126" spans="1:6">
      <c r="A126" s="6" t="s">
        <v>142</v>
      </c>
      <c r="B126" s="6">
        <f>_xlfn.XLOOKUP(A126,Tbl_sales[SKU],Tbl_sales[Availability])</f>
        <v>58</v>
      </c>
      <c r="C126" s="6">
        <f>_xlfn.XLOOKUP(A126,Tbl_sales[SKU],Tbl_sales[Stock levels])</f>
        <v>60</v>
      </c>
      <c r="D126" s="6">
        <f>_xlfn.XLOOKUP(A126,Tbl_sales[SKU],Tbl_sales[Lead times])</f>
        <v>18</v>
      </c>
      <c r="E126" s="6">
        <f>_xlfn.XLOOKUP(A126,Tbl_sales[SKU],Tbl_sales[Shipping times])</f>
        <v>7</v>
      </c>
      <c r="F126" s="6" t="str">
        <f t="shared" si="2"/>
        <v>OK</v>
      </c>
    </row>
    <row r="127" spans="1:6">
      <c r="A127" s="6" t="s">
        <v>143</v>
      </c>
      <c r="B127" s="6">
        <f>_xlfn.XLOOKUP(A127,Tbl_sales[SKU],Tbl_sales[Availability])</f>
        <v>10</v>
      </c>
      <c r="C127" s="6">
        <f>_xlfn.XLOOKUP(A127,Tbl_sales[SKU],Tbl_sales[Stock levels])</f>
        <v>90</v>
      </c>
      <c r="D127" s="6">
        <f>_xlfn.XLOOKUP(A127,Tbl_sales[SKU],Tbl_sales[Lead times])</f>
        <v>1</v>
      </c>
      <c r="E127" s="6">
        <f>_xlfn.XLOOKUP(A127,Tbl_sales[SKU],Tbl_sales[Shipping times])</f>
        <v>8</v>
      </c>
      <c r="F127" s="6" t="str">
        <f t="shared" si="2"/>
        <v>OK</v>
      </c>
    </row>
    <row r="128" spans="1:6">
      <c r="A128" s="6" t="s">
        <v>144</v>
      </c>
      <c r="B128" s="6">
        <f>_xlfn.XLOOKUP(A128,Tbl_sales[SKU],Tbl_sales[Availability])</f>
        <v>56</v>
      </c>
      <c r="C128" s="6">
        <f>_xlfn.XLOOKUP(A128,Tbl_sales[SKU],Tbl_sales[Stock levels])</f>
        <v>66</v>
      </c>
      <c r="D128" s="6">
        <f>_xlfn.XLOOKUP(A128,Tbl_sales[SKU],Tbl_sales[Lead times])</f>
        <v>18</v>
      </c>
      <c r="E128" s="6">
        <f>_xlfn.XLOOKUP(A128,Tbl_sales[SKU],Tbl_sales[Shipping times])</f>
        <v>7</v>
      </c>
      <c r="F128" s="6" t="str">
        <f t="shared" si="2"/>
        <v>OK</v>
      </c>
    </row>
    <row r="129" spans="1:6">
      <c r="A129" s="6" t="s">
        <v>145</v>
      </c>
      <c r="B129" s="6">
        <f>_xlfn.XLOOKUP(A129,Tbl_sales[SKU],Tbl_sales[Availability])</f>
        <v>90</v>
      </c>
      <c r="C129" s="6">
        <f>_xlfn.XLOOKUP(A129,Tbl_sales[SKU],Tbl_sales[Stock levels])</f>
        <v>98</v>
      </c>
      <c r="D129" s="6">
        <f>_xlfn.XLOOKUP(A129,Tbl_sales[SKU],Tbl_sales[Lead times])</f>
        <v>22</v>
      </c>
      <c r="E129" s="6">
        <f>_xlfn.XLOOKUP(A129,Tbl_sales[SKU],Tbl_sales[Shipping times])</f>
        <v>7</v>
      </c>
      <c r="F129" s="6" t="str">
        <f t="shared" ref="F129:F137" si="3">IF(C129&lt;=10,"Reorder","OK")</f>
        <v>OK</v>
      </c>
    </row>
    <row r="130" spans="1:6">
      <c r="A130" s="6" t="s">
        <v>146</v>
      </c>
      <c r="B130" s="6">
        <f>_xlfn.XLOOKUP(A130,Tbl_sales[SKU],Tbl_sales[Availability])</f>
        <v>44</v>
      </c>
      <c r="C130" s="6">
        <f>_xlfn.XLOOKUP(A130,Tbl_sales[SKU],Tbl_sales[Stock levels])</f>
        <v>90</v>
      </c>
      <c r="D130" s="6">
        <f>_xlfn.XLOOKUP(A130,Tbl_sales[SKU],Tbl_sales[Lead times])</f>
        <v>25</v>
      </c>
      <c r="E130" s="6">
        <f>_xlfn.XLOOKUP(A130,Tbl_sales[SKU],Tbl_sales[Shipping times])</f>
        <v>8</v>
      </c>
      <c r="F130" s="6" t="str">
        <f t="shared" si="3"/>
        <v>OK</v>
      </c>
    </row>
    <row r="131" spans="1:6">
      <c r="A131" s="6" t="s">
        <v>147</v>
      </c>
      <c r="B131" s="6">
        <f>_xlfn.XLOOKUP(A131,Tbl_sales[SKU],Tbl_sales[Availability])</f>
        <v>88</v>
      </c>
      <c r="C131" s="6">
        <f>_xlfn.XLOOKUP(A131,Tbl_sales[SKU],Tbl_sales[Stock levels])</f>
        <v>63</v>
      </c>
      <c r="D131" s="6">
        <f>_xlfn.XLOOKUP(A131,Tbl_sales[SKU],Tbl_sales[Lead times])</f>
        <v>17</v>
      </c>
      <c r="E131" s="6">
        <f>_xlfn.XLOOKUP(A131,Tbl_sales[SKU],Tbl_sales[Shipping times])</f>
        <v>1</v>
      </c>
      <c r="F131" s="6" t="str">
        <f t="shared" si="3"/>
        <v>OK</v>
      </c>
    </row>
    <row r="132" spans="1:6">
      <c r="A132" s="6" t="s">
        <v>148</v>
      </c>
      <c r="B132" s="6">
        <f>_xlfn.XLOOKUP(A132,Tbl_sales[SKU],Tbl_sales[Availability])</f>
        <v>97</v>
      </c>
      <c r="C132" s="6">
        <f>_xlfn.XLOOKUP(A132,Tbl_sales[SKU],Tbl_sales[Stock levels])</f>
        <v>77</v>
      </c>
      <c r="D132" s="6">
        <f>_xlfn.XLOOKUP(A132,Tbl_sales[SKU],Tbl_sales[Lead times])</f>
        <v>26</v>
      </c>
      <c r="E132" s="6">
        <f>_xlfn.XLOOKUP(A132,Tbl_sales[SKU],Tbl_sales[Shipping times])</f>
        <v>9</v>
      </c>
      <c r="F132" s="6" t="str">
        <f t="shared" si="3"/>
        <v>OK</v>
      </c>
    </row>
    <row r="133" spans="1:6">
      <c r="A133" s="6" t="s">
        <v>149</v>
      </c>
      <c r="B133" s="6">
        <f>_xlfn.XLOOKUP(A133,Tbl_sales[SKU],Tbl_sales[Availability])</f>
        <v>65</v>
      </c>
      <c r="C133" s="6">
        <f>_xlfn.XLOOKUP(A133,Tbl_sales[SKU],Tbl_sales[Stock levels])</f>
        <v>15</v>
      </c>
      <c r="D133" s="6">
        <f>_xlfn.XLOOKUP(A133,Tbl_sales[SKU],Tbl_sales[Lead times])</f>
        <v>14</v>
      </c>
      <c r="E133" s="6">
        <f>_xlfn.XLOOKUP(A133,Tbl_sales[SKU],Tbl_sales[Shipping times])</f>
        <v>9</v>
      </c>
      <c r="F133" s="6" t="str">
        <f t="shared" si="3"/>
        <v>OK</v>
      </c>
    </row>
    <row r="134" spans="1:6">
      <c r="A134" s="6" t="s">
        <v>150</v>
      </c>
      <c r="B134" s="6">
        <f>_xlfn.XLOOKUP(A134,Tbl_sales[SKU],Tbl_sales[Availability])</f>
        <v>29</v>
      </c>
      <c r="C134" s="6">
        <f>_xlfn.XLOOKUP(A134,Tbl_sales[SKU],Tbl_sales[Stock levels])</f>
        <v>67</v>
      </c>
      <c r="D134" s="6">
        <f>_xlfn.XLOOKUP(A134,Tbl_sales[SKU],Tbl_sales[Lead times])</f>
        <v>2</v>
      </c>
      <c r="E134" s="6">
        <f>_xlfn.XLOOKUP(A134,Tbl_sales[SKU],Tbl_sales[Shipping times])</f>
        <v>3</v>
      </c>
      <c r="F134" s="6" t="str">
        <f t="shared" si="3"/>
        <v>OK</v>
      </c>
    </row>
    <row r="135" spans="1:6">
      <c r="A135" s="6" t="s">
        <v>151</v>
      </c>
      <c r="B135" s="6">
        <f>_xlfn.XLOOKUP(A135,Tbl_sales[SKU],Tbl_sales[Availability])</f>
        <v>56</v>
      </c>
      <c r="C135" s="6">
        <f>_xlfn.XLOOKUP(A135,Tbl_sales[SKU],Tbl_sales[Stock levels])</f>
        <v>46</v>
      </c>
      <c r="D135" s="6">
        <f>_xlfn.XLOOKUP(A135,Tbl_sales[SKU],Tbl_sales[Lead times])</f>
        <v>19</v>
      </c>
      <c r="E135" s="6">
        <f>_xlfn.XLOOKUP(A135,Tbl_sales[SKU],Tbl_sales[Shipping times])</f>
        <v>9</v>
      </c>
      <c r="F135" s="6" t="str">
        <f t="shared" si="3"/>
        <v>OK</v>
      </c>
    </row>
    <row r="136" spans="1:6">
      <c r="A136" s="6" t="s">
        <v>152</v>
      </c>
      <c r="B136" s="6">
        <f>_xlfn.XLOOKUP(A136,Tbl_sales[SKU],Tbl_sales[Availability])</f>
        <v>43</v>
      </c>
      <c r="C136" s="6">
        <f>_xlfn.XLOOKUP(A136,Tbl_sales[SKU],Tbl_sales[Stock levels])</f>
        <v>53</v>
      </c>
      <c r="D136" s="6">
        <f>_xlfn.XLOOKUP(A136,Tbl_sales[SKU],Tbl_sales[Lead times])</f>
        <v>1</v>
      </c>
      <c r="E136" s="6">
        <f>_xlfn.XLOOKUP(A136,Tbl_sales[SKU],Tbl_sales[Shipping times])</f>
        <v>7</v>
      </c>
      <c r="F136" s="6" t="str">
        <f t="shared" si="3"/>
        <v>OK</v>
      </c>
    </row>
    <row r="137" spans="1:6">
      <c r="A137" s="6" t="s">
        <v>153</v>
      </c>
      <c r="B137" s="6">
        <f>_xlfn.XLOOKUP(A137,Tbl_sales[SKU],Tbl_sales[Availability])</f>
        <v>17</v>
      </c>
      <c r="C137" s="6">
        <f>_xlfn.XLOOKUP(A137,Tbl_sales[SKU],Tbl_sales[Stock levels])</f>
        <v>55</v>
      </c>
      <c r="D137" s="6">
        <f>_xlfn.XLOOKUP(A137,Tbl_sales[SKU],Tbl_sales[Lead times])</f>
        <v>8</v>
      </c>
      <c r="E137" s="6">
        <f>_xlfn.XLOOKUP(A137,Tbl_sales[SKU],Tbl_sales[Shipping times])</f>
        <v>6</v>
      </c>
      <c r="F137" s="6" t="str">
        <f t="shared" si="3"/>
        <v>OK</v>
      </c>
    </row>
  </sheetData>
  <mergeCells count="5">
    <mergeCell ref="A36:E36"/>
    <mergeCell ref="A20:E20"/>
    <mergeCell ref="A29:C29"/>
    <mergeCell ref="A11:D11"/>
    <mergeCell ref="A2:B2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D58C-3EF5-B942-A118-9D96D848B922}">
  <dimension ref="B1:M35"/>
  <sheetViews>
    <sheetView zoomScale="86" zoomScaleNormal="100" workbookViewId="0">
      <selection activeCell="B19" sqref="B19"/>
    </sheetView>
  </sheetViews>
  <sheetFormatPr baseColWidth="10" defaultRowHeight="16"/>
  <cols>
    <col min="1" max="1" width="1" customWidth="1"/>
    <col min="2" max="2" width="14.1640625" customWidth="1"/>
    <col min="3" max="3" width="17.6640625" customWidth="1"/>
    <col min="4" max="4" width="13" customWidth="1"/>
    <col min="5" max="5" width="19.1640625" customWidth="1"/>
    <col min="6" max="6" width="20.5" customWidth="1"/>
    <col min="7" max="7" width="11" customWidth="1"/>
    <col min="13" max="13" width="14" customWidth="1"/>
  </cols>
  <sheetData>
    <row r="1" spans="2:13" ht="18" customHeight="1">
      <c r="B1" s="26" t="s">
        <v>272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2:13" ht="14" customHeight="1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2:13" ht="4" customHeight="1"/>
    <row r="8" spans="2:13" ht="5" customHeight="1"/>
    <row r="9" spans="2:13" ht="10" customHeight="1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2:13" ht="6" customHeight="1"/>
    <row r="11" spans="2:13" ht="19" customHeight="1">
      <c r="B11" s="28" t="s">
        <v>267</v>
      </c>
      <c r="C11" s="28"/>
      <c r="D11" s="28"/>
      <c r="E11" s="28"/>
      <c r="F11" s="28"/>
      <c r="G11" s="28"/>
      <c r="I11" s="28" t="s">
        <v>273</v>
      </c>
      <c r="J11" s="28"/>
      <c r="K11" s="28"/>
      <c r="L11" s="28"/>
      <c r="M11" s="28"/>
    </row>
    <row r="12" spans="2:13" ht="16" customHeight="1">
      <c r="B12" s="19" t="s">
        <v>268</v>
      </c>
      <c r="C12" s="19" t="s">
        <v>250</v>
      </c>
      <c r="D12" s="19" t="s">
        <v>269</v>
      </c>
      <c r="E12" s="19" t="s">
        <v>270</v>
      </c>
      <c r="F12" s="19"/>
      <c r="G12" s="19"/>
      <c r="I12" s="21" t="s">
        <v>1</v>
      </c>
      <c r="J12" s="21" t="s">
        <v>3</v>
      </c>
      <c r="K12" s="21" t="s">
        <v>7</v>
      </c>
      <c r="L12" s="21" t="s">
        <v>8</v>
      </c>
      <c r="M12" s="21" t="s">
        <v>257</v>
      </c>
    </row>
    <row r="13" spans="2:13" ht="16" customHeight="1">
      <c r="B13" s="2" t="str">
        <f>Analysis!A13</f>
        <v>haircare</v>
      </c>
      <c r="C13" s="12">
        <f>Analysis!B13</f>
        <v>174455.39060546222</v>
      </c>
      <c r="D13" s="12">
        <f>Analysis!C13</f>
        <v>13611</v>
      </c>
      <c r="E13" s="12">
        <f>Analysis!D13</f>
        <v>46.014278873737688</v>
      </c>
      <c r="F13" s="12"/>
      <c r="G13" s="12"/>
      <c r="I13" s="2" t="str" cm="1">
        <f t="array" ref="I13:L29">_xlfn._xlws.FILTER(Analysis!A37:D137,Analysis!F37:F137="Reorder")</f>
        <v>SKU2</v>
      </c>
      <c r="J13" s="2">
        <v>34</v>
      </c>
      <c r="K13" s="2">
        <v>1</v>
      </c>
      <c r="L13" s="2">
        <v>10</v>
      </c>
      <c r="M13" s="13" t="str">
        <f>IF(I13&lt;&gt;"","REORDER NOW","")</f>
        <v>REORDER NOW</v>
      </c>
    </row>
    <row r="14" spans="2:13" ht="16" customHeight="1">
      <c r="B14" s="2" t="str">
        <f>Analysis!A14</f>
        <v>skincare</v>
      </c>
      <c r="C14" s="12">
        <f>Analysis!B14</f>
        <v>241628.16213306302</v>
      </c>
      <c r="D14" s="12">
        <f>Analysis!C14</f>
        <v>20731</v>
      </c>
      <c r="E14" s="12">
        <f>Analysis!D14</f>
        <v>47.259328879368724</v>
      </c>
      <c r="F14" s="12"/>
      <c r="G14" s="12"/>
      <c r="I14" s="2" t="str">
        <v>SKU4</v>
      </c>
      <c r="J14" s="2">
        <v>26</v>
      </c>
      <c r="K14" s="2">
        <v>5</v>
      </c>
      <c r="L14" s="2">
        <v>3</v>
      </c>
      <c r="M14" s="13" t="str">
        <f t="shared" ref="M14:M35" si="0">IF(I14&lt;&gt;"","REORDER NOW","")</f>
        <v>REORDER NOW</v>
      </c>
    </row>
    <row r="15" spans="2:13" ht="16" customHeight="1">
      <c r="B15" s="2" t="str">
        <f>Analysis!A15</f>
        <v>cosmetics</v>
      </c>
      <c r="C15" s="12">
        <f>Analysis!B15</f>
        <v>161521.26599948306</v>
      </c>
      <c r="D15" s="12">
        <f>Analysis!C15</f>
        <v>11757</v>
      </c>
      <c r="E15" s="12">
        <f>Analysis!D15</f>
        <v>57.361057599328305</v>
      </c>
      <c r="F15" s="12"/>
      <c r="G15" s="12"/>
      <c r="I15" s="2" t="str">
        <v>SKU8</v>
      </c>
      <c r="J15" s="2">
        <v>78</v>
      </c>
      <c r="K15" s="2">
        <v>5</v>
      </c>
      <c r="L15" s="2">
        <v>10</v>
      </c>
      <c r="M15" s="13" t="str">
        <f t="shared" si="0"/>
        <v>REORDER NOW</v>
      </c>
    </row>
    <row r="16" spans="2:13" ht="16" customHeight="1">
      <c r="I16" s="2" t="str">
        <v>SKU15</v>
      </c>
      <c r="J16" s="2">
        <v>94</v>
      </c>
      <c r="K16" s="2">
        <v>9</v>
      </c>
      <c r="L16" s="2">
        <v>8</v>
      </c>
      <c r="M16" s="13" t="str">
        <f t="shared" si="0"/>
        <v>REORDER NOW</v>
      </c>
    </row>
    <row r="17" spans="2:13" ht="19" customHeight="1">
      <c r="B17" s="28" t="s">
        <v>274</v>
      </c>
      <c r="C17" s="28"/>
      <c r="D17" s="28"/>
      <c r="E17" s="28"/>
      <c r="F17" s="28"/>
      <c r="G17" s="28"/>
      <c r="I17" s="2" t="str">
        <v>SKU16</v>
      </c>
      <c r="J17" s="2">
        <v>74</v>
      </c>
      <c r="K17" s="2">
        <v>2</v>
      </c>
      <c r="L17" s="2">
        <v>5</v>
      </c>
      <c r="M17" s="13" t="str">
        <f t="shared" si="0"/>
        <v>REORDER NOW</v>
      </c>
    </row>
    <row r="18" spans="2:13" ht="34">
      <c r="B18" s="20" t="str">
        <f>Analysis!A21</f>
        <v>Supplier name</v>
      </c>
      <c r="C18" s="20" t="str">
        <f>Analysis!B21</f>
        <v>Avg Defect Rate</v>
      </c>
      <c r="D18" s="20" t="str">
        <f>Analysis!C21</f>
        <v>Avg Lead Time</v>
      </c>
      <c r="E18" s="20" t="str">
        <f>Analysis!D21</f>
        <v>Avg Manufacturing Lead Time</v>
      </c>
      <c r="F18" s="20" t="str">
        <f>Analysis!E21</f>
        <v>Avg Manufacturing Cost</v>
      </c>
      <c r="G18" s="20" t="s">
        <v>257</v>
      </c>
      <c r="I18" s="2" t="str">
        <v>SKU18</v>
      </c>
      <c r="J18" s="2">
        <v>23</v>
      </c>
      <c r="K18" s="2">
        <v>10</v>
      </c>
      <c r="L18" s="2">
        <v>10</v>
      </c>
      <c r="M18" s="13" t="str">
        <f t="shared" si="0"/>
        <v>REORDER NOW</v>
      </c>
    </row>
    <row r="19" spans="2:13" ht="17" customHeight="1">
      <c r="B19" s="14" t="str">
        <f>Analysis!A22</f>
        <v>Supplier 1</v>
      </c>
      <c r="C19" s="15">
        <f>Analysis!B22</f>
        <v>1.8036297116882485</v>
      </c>
      <c r="D19" s="15">
        <f>Analysis!C22</f>
        <v>14.777777777777779</v>
      </c>
      <c r="E19" s="15">
        <f>Analysis!D22</f>
        <v>12.592592592592593</v>
      </c>
      <c r="F19" s="16">
        <f>Analysis!E22</f>
        <v>574.85113872103</v>
      </c>
      <c r="G19" s="16" t="str">
        <f>IF(C19&lt;2,"Best",IF(C19&lt;=2.5,"Good","Average"))</f>
        <v>Best</v>
      </c>
      <c r="I19" s="2" t="str">
        <v>SKU24</v>
      </c>
      <c r="J19" s="2">
        <v>32</v>
      </c>
      <c r="K19" s="2">
        <v>4</v>
      </c>
      <c r="L19" s="2">
        <v>26</v>
      </c>
      <c r="M19" s="13" t="str">
        <f t="shared" si="0"/>
        <v>REORDER NOW</v>
      </c>
    </row>
    <row r="20" spans="2:13" ht="17" customHeight="1">
      <c r="B20" s="14" t="str">
        <f>Analysis!A23</f>
        <v>Supplier 2</v>
      </c>
      <c r="C20" s="15">
        <f>Analysis!B23</f>
        <v>2.3627501450718764</v>
      </c>
      <c r="D20" s="15">
        <f>Analysis!C23</f>
        <v>18.545454545454547</v>
      </c>
      <c r="E20" s="15">
        <f>Analysis!D23</f>
        <v>15.590909090909092</v>
      </c>
      <c r="F20" s="16">
        <f>Analysis!E23</f>
        <v>515.02724081431597</v>
      </c>
      <c r="G20" s="16" t="str">
        <f t="shared" ref="G20:G23" si="1">IF(C20&lt;2,"Best",IF(C20&lt;=2.5,"Good","Average"))</f>
        <v>Good</v>
      </c>
      <c r="I20" s="2" t="str">
        <v>SKU31</v>
      </c>
      <c r="J20" s="2">
        <v>28</v>
      </c>
      <c r="K20" s="2">
        <v>6</v>
      </c>
      <c r="L20" s="2">
        <v>17</v>
      </c>
      <c r="M20" s="13" t="str">
        <f t="shared" si="0"/>
        <v>REORDER NOW</v>
      </c>
    </row>
    <row r="21" spans="2:13" ht="17" customHeight="1">
      <c r="B21" s="14" t="str">
        <f>Analysis!A24</f>
        <v>Supplier 3</v>
      </c>
      <c r="C21" s="15">
        <f>Analysis!B24</f>
        <v>2.4657860307644657</v>
      </c>
      <c r="D21" s="15">
        <f>Analysis!C24</f>
        <v>20.133333333333333</v>
      </c>
      <c r="E21" s="15">
        <f>Analysis!D24</f>
        <v>14.933333333333334</v>
      </c>
      <c r="F21" s="16">
        <f>Analysis!E24</f>
        <v>468.80010153483437</v>
      </c>
      <c r="G21" s="16" t="str">
        <f t="shared" si="1"/>
        <v>Good</v>
      </c>
      <c r="I21" s="2" t="str">
        <v>SKU33</v>
      </c>
      <c r="J21" s="2">
        <v>63</v>
      </c>
      <c r="K21" s="2">
        <v>4</v>
      </c>
      <c r="L21" s="2">
        <v>17</v>
      </c>
      <c r="M21" s="13" t="str">
        <f t="shared" si="0"/>
        <v>REORDER NOW</v>
      </c>
    </row>
    <row r="22" spans="2:13" ht="17" customHeight="1">
      <c r="B22" s="14" t="str">
        <f>Analysis!A25</f>
        <v>Supplier 4</v>
      </c>
      <c r="C22" s="15">
        <f>Analysis!B25</f>
        <v>2.3373974005913354</v>
      </c>
      <c r="D22" s="15">
        <f>Analysis!C25</f>
        <v>15.222222222222221</v>
      </c>
      <c r="E22" s="15">
        <f>Analysis!D25</f>
        <v>15.333333333333334</v>
      </c>
      <c r="F22" s="16">
        <f>Analysis!E25</f>
        <v>521.81041762840346</v>
      </c>
      <c r="G22" s="16" t="str">
        <f t="shared" si="1"/>
        <v>Good</v>
      </c>
      <c r="I22" s="2" t="str">
        <v>SKU34</v>
      </c>
      <c r="J22" s="2">
        <v>96</v>
      </c>
      <c r="K22" s="2">
        <v>1</v>
      </c>
      <c r="L22" s="2">
        <v>26</v>
      </c>
      <c r="M22" s="13" t="str">
        <f t="shared" si="0"/>
        <v>REORDER NOW</v>
      </c>
    </row>
    <row r="23" spans="2:13" ht="17" customHeight="1">
      <c r="B23" s="14" t="str">
        <f>Analysis!A26</f>
        <v>Supplier 5</v>
      </c>
      <c r="C23" s="15">
        <f>Analysis!B26</f>
        <v>2.6654083441491982</v>
      </c>
      <c r="D23" s="15">
        <f>Analysis!C26</f>
        <v>18.055555555555557</v>
      </c>
      <c r="E23" s="15">
        <f>Analysis!D26</f>
        <v>16.333333333333332</v>
      </c>
      <c r="F23" s="16">
        <f>Analysis!E26</f>
        <v>536.0227295609734</v>
      </c>
      <c r="G23" s="16" t="str">
        <f t="shared" si="1"/>
        <v>Average</v>
      </c>
      <c r="I23" s="2" t="str">
        <v>SKU47</v>
      </c>
      <c r="J23" s="2">
        <v>93</v>
      </c>
      <c r="K23" s="2">
        <v>4</v>
      </c>
      <c r="L23" s="2">
        <v>15</v>
      </c>
      <c r="M23" s="13" t="str">
        <f t="shared" si="0"/>
        <v>REORDER NOW</v>
      </c>
    </row>
    <row r="24" spans="2:13" ht="16" customHeight="1">
      <c r="I24" s="2" t="str">
        <v>SKU57</v>
      </c>
      <c r="J24" s="2">
        <v>65</v>
      </c>
      <c r="K24" s="2">
        <v>5</v>
      </c>
      <c r="L24" s="2">
        <v>18</v>
      </c>
      <c r="M24" s="13" t="str">
        <f t="shared" si="0"/>
        <v>REORDER NOW</v>
      </c>
    </row>
    <row r="25" spans="2:13" ht="19" customHeight="1">
      <c r="B25" s="28" t="s">
        <v>275</v>
      </c>
      <c r="C25" s="28"/>
      <c r="D25" s="28"/>
      <c r="E25" s="28"/>
      <c r="F25" s="28"/>
      <c r="G25" s="28"/>
      <c r="I25" s="2" t="str">
        <v>SKU58</v>
      </c>
      <c r="J25" s="2">
        <v>81</v>
      </c>
      <c r="K25" s="2">
        <v>10</v>
      </c>
      <c r="L25" s="2">
        <v>5</v>
      </c>
      <c r="M25" s="13" t="str">
        <f t="shared" si="0"/>
        <v>REORDER NOW</v>
      </c>
    </row>
    <row r="26" spans="2:13" ht="16" customHeight="1">
      <c r="B26" s="22" t="str">
        <f>Analysis!A30</f>
        <v>Shipping Carrier</v>
      </c>
      <c r="C26" s="22" t="str">
        <f>Analysis!B30</f>
        <v>Avg Shipping Time</v>
      </c>
      <c r="D26" s="22" t="str">
        <f>Analysis!C30</f>
        <v>Avg Shipping Cost</v>
      </c>
      <c r="E26" s="22"/>
      <c r="F26" s="22"/>
      <c r="G26" s="22"/>
      <c r="I26" s="2" t="str">
        <v>SKU68</v>
      </c>
      <c r="J26" s="2">
        <v>29</v>
      </c>
      <c r="K26" s="2">
        <v>0</v>
      </c>
      <c r="L26" s="2">
        <v>8</v>
      </c>
      <c r="M26" s="13" t="str">
        <f t="shared" si="0"/>
        <v>REORDER NOW</v>
      </c>
    </row>
    <row r="27" spans="2:13" ht="16" customHeight="1">
      <c r="B27" s="17" t="str">
        <f>Analysis!A31</f>
        <v>Carrier B</v>
      </c>
      <c r="C27" s="18">
        <f>Analysis!B31</f>
        <v>5.3023255813953485</v>
      </c>
      <c r="D27" s="18">
        <f>Analysis!C31</f>
        <v>5.5092469689287276</v>
      </c>
      <c r="E27" s="18"/>
      <c r="F27" s="18"/>
      <c r="G27" s="17"/>
      <c r="I27" s="2" t="str">
        <v>SKU70</v>
      </c>
      <c r="J27" s="2">
        <v>90</v>
      </c>
      <c r="K27" s="2">
        <v>10</v>
      </c>
      <c r="L27" s="2">
        <v>12</v>
      </c>
      <c r="M27" s="13" t="str">
        <f t="shared" si="0"/>
        <v>REORDER NOW</v>
      </c>
    </row>
    <row r="28" spans="2:13" ht="16" customHeight="1">
      <c r="B28" s="17" t="str">
        <f>Analysis!A32</f>
        <v>Carrier A</v>
      </c>
      <c r="C28" s="18">
        <f>Analysis!B32</f>
        <v>6.1428571428571432</v>
      </c>
      <c r="D28" s="18">
        <f>Analysis!C32</f>
        <v>5.5549225216512665</v>
      </c>
      <c r="E28" s="18"/>
      <c r="F28" s="18"/>
      <c r="G28" s="17"/>
      <c r="I28" s="2" t="str">
        <v>SKU78</v>
      </c>
      <c r="J28" s="2">
        <v>50</v>
      </c>
      <c r="K28" s="2">
        <v>5</v>
      </c>
      <c r="L28" s="2">
        <v>4</v>
      </c>
      <c r="M28" s="13" t="str">
        <f t="shared" si="0"/>
        <v>REORDER NOW</v>
      </c>
    </row>
    <row r="29" spans="2:13">
      <c r="B29" s="17" t="str">
        <f>Analysis!A33</f>
        <v>Carrier C</v>
      </c>
      <c r="C29" s="18">
        <f>Analysis!B33</f>
        <v>6.0344827586206895</v>
      </c>
      <c r="D29" s="18">
        <f>Analysis!C33</f>
        <v>5.5992916183375021</v>
      </c>
      <c r="E29" s="18"/>
      <c r="F29" s="18"/>
      <c r="G29" s="17"/>
      <c r="I29" s="2" t="str">
        <v>SKU87</v>
      </c>
      <c r="J29" s="2">
        <v>24</v>
      </c>
      <c r="K29" s="2">
        <v>5</v>
      </c>
      <c r="L29" s="2">
        <v>7</v>
      </c>
      <c r="M29" s="13" t="str">
        <f t="shared" si="0"/>
        <v>REORDER NOW</v>
      </c>
    </row>
    <row r="30" spans="2:13">
      <c r="M30" s="11" t="str">
        <f>IF(I30&lt;&gt;"","REORDER NOW","")</f>
        <v/>
      </c>
    </row>
    <row r="31" spans="2:13" ht="19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 t="str">
        <f t="shared" si="0"/>
        <v/>
      </c>
    </row>
    <row r="32" spans="2:13">
      <c r="M32" s="11" t="str">
        <f t="shared" si="0"/>
        <v/>
      </c>
    </row>
    <row r="33" spans="13:13">
      <c r="M33" s="11" t="str">
        <f t="shared" si="0"/>
        <v/>
      </c>
    </row>
    <row r="34" spans="13:13">
      <c r="M34" s="11" t="str">
        <f t="shared" si="0"/>
        <v/>
      </c>
    </row>
    <row r="35" spans="13:13">
      <c r="M35" s="11" t="str">
        <f t="shared" si="0"/>
        <v/>
      </c>
    </row>
  </sheetData>
  <mergeCells count="8">
    <mergeCell ref="B31:G31"/>
    <mergeCell ref="H31:M31"/>
    <mergeCell ref="B1:M2"/>
    <mergeCell ref="B9:M9"/>
    <mergeCell ref="I11:M11"/>
    <mergeCell ref="B11:G11"/>
    <mergeCell ref="B17:G17"/>
    <mergeCell ref="B25:G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C0C6-E5A8-A447-B032-CEE47263C330}">
  <dimension ref="A1:F32"/>
  <sheetViews>
    <sheetView zoomScale="84" workbookViewId="0">
      <selection activeCell="E36" sqref="E36"/>
    </sheetView>
  </sheetViews>
  <sheetFormatPr baseColWidth="10" defaultRowHeight="16"/>
  <cols>
    <col min="1" max="1" width="21.1640625" customWidth="1"/>
    <col min="2" max="2" width="11.33203125" customWidth="1"/>
    <col min="3" max="3" width="21.5" customWidth="1"/>
    <col min="4" max="4" width="13.33203125" customWidth="1"/>
    <col min="5" max="5" width="13.83203125" customWidth="1"/>
    <col min="6" max="6" width="21.5" customWidth="1"/>
  </cols>
  <sheetData>
    <row r="1" spans="1:6">
      <c r="A1" s="2" t="s">
        <v>160</v>
      </c>
      <c r="B1" s="2"/>
      <c r="C1" s="2"/>
      <c r="D1" s="2"/>
      <c r="E1" s="2"/>
      <c r="F1" s="2"/>
    </row>
    <row r="3" spans="1:6">
      <c r="A3" s="1" t="s">
        <v>154</v>
      </c>
      <c r="B3" s="1" t="s">
        <v>156</v>
      </c>
      <c r="C3" s="1" t="s">
        <v>157</v>
      </c>
      <c r="D3" s="1" t="s">
        <v>155</v>
      </c>
      <c r="E3" s="1" t="s">
        <v>158</v>
      </c>
      <c r="F3" s="1" t="s">
        <v>159</v>
      </c>
    </row>
    <row r="4" spans="1:6" ht="68">
      <c r="A4" s="3" t="s">
        <v>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</row>
    <row r="5" spans="1:6" ht="68">
      <c r="A5" s="3" t="s">
        <v>1</v>
      </c>
      <c r="B5" s="4" t="s">
        <v>161</v>
      </c>
      <c r="C5" s="4" t="s">
        <v>166</v>
      </c>
      <c r="D5" s="4" t="s">
        <v>167</v>
      </c>
      <c r="E5" s="4" t="s">
        <v>168</v>
      </c>
      <c r="F5" s="4" t="s">
        <v>169</v>
      </c>
    </row>
    <row r="6" spans="1:6" ht="68">
      <c r="A6" s="3" t="s">
        <v>2</v>
      </c>
      <c r="B6" s="4" t="s">
        <v>170</v>
      </c>
      <c r="C6" s="4" t="s">
        <v>171</v>
      </c>
      <c r="D6" s="4" t="s">
        <v>172</v>
      </c>
      <c r="E6" s="4" t="s">
        <v>173</v>
      </c>
      <c r="F6" s="4" t="s">
        <v>174</v>
      </c>
    </row>
    <row r="7" spans="1:6" ht="51">
      <c r="A7" s="3" t="s">
        <v>3</v>
      </c>
      <c r="B7" s="4" t="s">
        <v>175</v>
      </c>
      <c r="C7" s="4" t="s">
        <v>176</v>
      </c>
      <c r="D7" s="4" t="s">
        <v>177</v>
      </c>
      <c r="E7" s="4" t="s">
        <v>178</v>
      </c>
      <c r="F7" s="4" t="s">
        <v>179</v>
      </c>
    </row>
    <row r="8" spans="1:6" ht="51">
      <c r="A8" s="3" t="s">
        <v>180</v>
      </c>
      <c r="B8" s="4" t="s">
        <v>175</v>
      </c>
      <c r="C8" t="s">
        <v>181</v>
      </c>
      <c r="D8" s="4" t="s">
        <v>177</v>
      </c>
      <c r="E8" s="4" t="s">
        <v>182</v>
      </c>
      <c r="F8" s="4" t="s">
        <v>183</v>
      </c>
    </row>
    <row r="9" spans="1:6" ht="68">
      <c r="A9" s="3" t="s">
        <v>5</v>
      </c>
      <c r="B9" s="4" t="s">
        <v>170</v>
      </c>
      <c r="C9" t="s">
        <v>184</v>
      </c>
      <c r="D9" s="4" t="s">
        <v>185</v>
      </c>
      <c r="E9" s="4" t="s">
        <v>186</v>
      </c>
      <c r="F9" s="4" t="s">
        <v>187</v>
      </c>
    </row>
    <row r="10" spans="1:6" ht="85">
      <c r="A10" s="3" t="s">
        <v>6</v>
      </c>
      <c r="B10" s="4" t="s">
        <v>188</v>
      </c>
      <c r="C10" s="4" t="s">
        <v>189</v>
      </c>
      <c r="D10" s="4" t="s">
        <v>190</v>
      </c>
      <c r="E10" s="4" t="s">
        <v>191</v>
      </c>
      <c r="F10" s="4" t="s">
        <v>192</v>
      </c>
    </row>
    <row r="11" spans="1:6" ht="85">
      <c r="A11" s="3" t="s">
        <v>7</v>
      </c>
      <c r="B11" s="4" t="s">
        <v>175</v>
      </c>
      <c r="C11" s="4" t="s">
        <v>193</v>
      </c>
      <c r="D11" s="4" t="s">
        <v>195</v>
      </c>
      <c r="E11" s="4" t="s">
        <v>196</v>
      </c>
      <c r="F11" s="4" t="s">
        <v>194</v>
      </c>
    </row>
    <row r="12" spans="1:6" ht="85">
      <c r="A12" s="3" t="s">
        <v>8</v>
      </c>
      <c r="B12" s="4" t="s">
        <v>175</v>
      </c>
      <c r="C12" s="4" t="s">
        <v>197</v>
      </c>
      <c r="D12" s="4" t="s">
        <v>198</v>
      </c>
      <c r="E12" s="4" t="s">
        <v>199</v>
      </c>
      <c r="F12" s="4" t="s">
        <v>200</v>
      </c>
    </row>
    <row r="13" spans="1:6" ht="85">
      <c r="A13" s="3" t="s">
        <v>9</v>
      </c>
      <c r="B13" s="4" t="s">
        <v>175</v>
      </c>
      <c r="C13" s="4" t="s">
        <v>201</v>
      </c>
      <c r="D13" s="4" t="s">
        <v>172</v>
      </c>
      <c r="E13" s="4" t="s">
        <v>202</v>
      </c>
      <c r="F13" s="4" t="s">
        <v>203</v>
      </c>
    </row>
    <row r="14" spans="1:6" ht="85">
      <c r="A14" s="3" t="s">
        <v>8</v>
      </c>
      <c r="B14" s="4" t="s">
        <v>175</v>
      </c>
      <c r="C14" s="4" t="s">
        <v>197</v>
      </c>
      <c r="D14" s="4" t="s">
        <v>204</v>
      </c>
      <c r="E14" s="4" t="s">
        <v>205</v>
      </c>
      <c r="F14" s="4" t="s">
        <v>200</v>
      </c>
    </row>
    <row r="15" spans="1:6" ht="68">
      <c r="A15" s="3" t="s">
        <v>11</v>
      </c>
      <c r="B15" s="4" t="s">
        <v>188</v>
      </c>
      <c r="C15" s="4" t="s">
        <v>206</v>
      </c>
      <c r="D15" s="4" t="s">
        <v>207</v>
      </c>
      <c r="E15" s="4" t="s">
        <v>208</v>
      </c>
      <c r="F15" s="4" t="s">
        <v>209</v>
      </c>
    </row>
    <row r="16" spans="1:6" ht="85">
      <c r="A16" s="3" t="s">
        <v>210</v>
      </c>
      <c r="B16" s="4" t="s">
        <v>170</v>
      </c>
      <c r="C16" s="4" t="s">
        <v>211</v>
      </c>
      <c r="D16" s="4" t="s">
        <v>172</v>
      </c>
      <c r="E16" s="4" t="s">
        <v>212</v>
      </c>
      <c r="F16" s="4" t="s">
        <v>213</v>
      </c>
    </row>
    <row r="17" spans="1:6" ht="85">
      <c r="A17" s="3" t="s">
        <v>13</v>
      </c>
      <c r="B17" s="4" t="s">
        <v>161</v>
      </c>
      <c r="C17" s="4" t="s">
        <v>214</v>
      </c>
      <c r="D17" s="4" t="s">
        <v>215</v>
      </c>
      <c r="E17" s="4" t="s">
        <v>216</v>
      </c>
      <c r="F17" s="4" t="s">
        <v>217</v>
      </c>
    </row>
    <row r="18" spans="1:6" ht="85">
      <c r="A18" s="3" t="s">
        <v>14</v>
      </c>
      <c r="B18" s="4" t="s">
        <v>161</v>
      </c>
      <c r="C18" s="4" t="s">
        <v>218</v>
      </c>
      <c r="D18" s="4" t="s">
        <v>29</v>
      </c>
      <c r="E18" s="4" t="s">
        <v>219</v>
      </c>
      <c r="F18" s="4" t="s">
        <v>220</v>
      </c>
    </row>
    <row r="19" spans="1:6" ht="85">
      <c r="A19" s="3" t="s">
        <v>15</v>
      </c>
      <c r="B19" s="4" t="s">
        <v>175</v>
      </c>
      <c r="C19" s="4" t="s">
        <v>221</v>
      </c>
      <c r="D19" s="4" t="s">
        <v>198</v>
      </c>
      <c r="E19" s="4" t="s">
        <v>199</v>
      </c>
      <c r="F19" s="4" t="s">
        <v>222</v>
      </c>
    </row>
    <row r="20" spans="1:6" ht="85">
      <c r="A20" s="3" t="s">
        <v>16</v>
      </c>
      <c r="B20" s="4" t="s">
        <v>175</v>
      </c>
      <c r="C20" s="4" t="s">
        <v>223</v>
      </c>
      <c r="D20" s="4" t="s">
        <v>172</v>
      </c>
      <c r="E20" s="4" t="s">
        <v>224</v>
      </c>
      <c r="F20" s="4" t="s">
        <v>225</v>
      </c>
    </row>
    <row r="21" spans="1:6" ht="85">
      <c r="A21" s="3" t="s">
        <v>17</v>
      </c>
      <c r="B21" s="4" t="s">
        <v>175</v>
      </c>
      <c r="C21" s="4" t="s">
        <v>226</v>
      </c>
      <c r="D21" s="4" t="s">
        <v>198</v>
      </c>
      <c r="E21" s="4" t="s">
        <v>227</v>
      </c>
      <c r="F21" s="4" t="s">
        <v>228</v>
      </c>
    </row>
    <row r="22" spans="1:6" ht="102">
      <c r="A22" s="3" t="s">
        <v>18</v>
      </c>
      <c r="B22" s="4" t="s">
        <v>170</v>
      </c>
      <c r="C22" s="4" t="s">
        <v>229</v>
      </c>
      <c r="D22" s="4" t="s">
        <v>172</v>
      </c>
      <c r="E22" s="4" t="s">
        <v>230</v>
      </c>
      <c r="F22" s="4" t="s">
        <v>231</v>
      </c>
    </row>
    <row r="23" spans="1:6" ht="68">
      <c r="A23" s="3" t="s">
        <v>19</v>
      </c>
      <c r="B23" s="4" t="s">
        <v>161</v>
      </c>
      <c r="C23" s="4" t="s">
        <v>232</v>
      </c>
      <c r="D23" s="4" t="s">
        <v>64</v>
      </c>
      <c r="E23" s="4" t="s">
        <v>233</v>
      </c>
      <c r="F23" s="4" t="s">
        <v>234</v>
      </c>
    </row>
    <row r="24" spans="1:6" ht="102">
      <c r="A24" s="3" t="s">
        <v>20</v>
      </c>
      <c r="B24" s="4" t="s">
        <v>170</v>
      </c>
      <c r="C24" s="4" t="s">
        <v>235</v>
      </c>
      <c r="D24" s="4" t="s">
        <v>236</v>
      </c>
      <c r="E24" s="4" t="s">
        <v>237</v>
      </c>
      <c r="F24" s="4" t="s">
        <v>238</v>
      </c>
    </row>
    <row r="25" spans="1:6" ht="85">
      <c r="A25" s="3" t="s">
        <v>21</v>
      </c>
      <c r="B25" s="4" t="s">
        <v>161</v>
      </c>
      <c r="C25" s="4" t="s">
        <v>239</v>
      </c>
      <c r="D25" s="4" t="s">
        <v>31</v>
      </c>
      <c r="E25" s="4" t="s">
        <v>240</v>
      </c>
      <c r="F25" s="4" t="s">
        <v>241</v>
      </c>
    </row>
    <row r="26" spans="1:6" ht="85">
      <c r="A26" s="3" t="s">
        <v>22</v>
      </c>
      <c r="B26" s="4" t="s">
        <v>161</v>
      </c>
      <c r="C26" s="4" t="s">
        <v>242</v>
      </c>
      <c r="D26" s="4" t="s">
        <v>48</v>
      </c>
      <c r="E26" s="4" t="s">
        <v>243</v>
      </c>
      <c r="F26" s="4" t="s">
        <v>244</v>
      </c>
    </row>
    <row r="27" spans="1:6">
      <c r="A27" t="s">
        <v>23</v>
      </c>
      <c r="B27" t="s">
        <v>170</v>
      </c>
      <c r="C27" t="s">
        <v>245</v>
      </c>
      <c r="D27" t="s">
        <v>172</v>
      </c>
      <c r="E27" t="s">
        <v>246</v>
      </c>
      <c r="F27" t="s">
        <v>247</v>
      </c>
    </row>
    <row r="28" spans="1:6">
      <c r="A28" s="3"/>
      <c r="B28" s="4"/>
      <c r="C28" s="4"/>
      <c r="D28" s="4"/>
      <c r="E28" s="4"/>
      <c r="F28" s="4"/>
    </row>
    <row r="29" spans="1:6">
      <c r="A29" s="3"/>
      <c r="B29" s="4"/>
      <c r="C29" s="4"/>
      <c r="D29" s="4"/>
      <c r="E29" s="4"/>
      <c r="F29" s="4"/>
    </row>
    <row r="30" spans="1:6">
      <c r="A30" s="3"/>
      <c r="B30" s="4"/>
      <c r="C30" s="4"/>
      <c r="D30" s="4"/>
      <c r="E30" s="4"/>
      <c r="F30" s="4"/>
    </row>
    <row r="31" spans="1:6">
      <c r="A31" s="3"/>
      <c r="B31" s="4"/>
      <c r="C31" s="4"/>
      <c r="D31" s="4"/>
      <c r="E31" s="4"/>
      <c r="F31" s="4"/>
    </row>
    <row r="32" spans="1:6">
      <c r="A32" s="3"/>
      <c r="B32" s="4"/>
      <c r="C32" s="4"/>
      <c r="D32" s="4"/>
      <c r="E32" s="4"/>
      <c r="F32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C3B0-134F-A948-BFB8-479B27193672}">
  <dimension ref="B2:I31"/>
  <sheetViews>
    <sheetView zoomScale="75" workbookViewId="0">
      <selection activeCell="F26" sqref="F26"/>
    </sheetView>
  </sheetViews>
  <sheetFormatPr baseColWidth="10" defaultRowHeight="16"/>
  <cols>
    <col min="9" max="9" width="42.5" customWidth="1"/>
  </cols>
  <sheetData>
    <row r="2" spans="2:9">
      <c r="B2" s="39" t="s">
        <v>276</v>
      </c>
      <c r="C2" s="39"/>
      <c r="D2" s="39"/>
      <c r="E2" s="39"/>
      <c r="F2" s="39"/>
      <c r="G2" s="39"/>
      <c r="H2" s="39"/>
      <c r="I2" s="39"/>
    </row>
    <row r="3" spans="2:9" ht="17" customHeight="1">
      <c r="B3" s="39"/>
      <c r="C3" s="39"/>
      <c r="D3" s="39"/>
      <c r="E3" s="39"/>
      <c r="F3" s="39"/>
      <c r="G3" s="39"/>
      <c r="H3" s="39"/>
      <c r="I3" s="39"/>
    </row>
    <row r="4" spans="2:9" ht="17" customHeight="1">
      <c r="B4" s="40" t="s">
        <v>279</v>
      </c>
      <c r="C4" s="40"/>
      <c r="D4" s="40"/>
      <c r="E4" s="40"/>
      <c r="F4" s="40"/>
      <c r="G4" s="40"/>
      <c r="H4" s="40"/>
      <c r="I4" s="40"/>
    </row>
    <row r="5" spans="2:9" ht="17" customHeight="1"/>
    <row r="6" spans="2:9">
      <c r="B6" s="39" t="s">
        <v>277</v>
      </c>
      <c r="C6" s="39"/>
      <c r="D6" s="39"/>
      <c r="E6" s="39"/>
      <c r="F6" s="39"/>
      <c r="G6" s="39"/>
      <c r="H6" s="39"/>
      <c r="I6" s="39"/>
    </row>
    <row r="7" spans="2:9" ht="133" customHeight="1">
      <c r="B7" s="41" t="s">
        <v>280</v>
      </c>
      <c r="C7" s="41"/>
      <c r="D7" s="41"/>
      <c r="E7" s="41"/>
      <c r="F7" s="41"/>
      <c r="G7" s="41"/>
      <c r="H7" s="41"/>
      <c r="I7" s="41"/>
    </row>
    <row r="8" spans="2:9">
      <c r="B8" s="42" t="s">
        <v>281</v>
      </c>
      <c r="C8" s="42"/>
      <c r="D8" s="42"/>
      <c r="E8" s="42"/>
      <c r="F8" s="42"/>
      <c r="G8" s="42"/>
      <c r="H8" s="42"/>
      <c r="I8" s="42"/>
    </row>
    <row r="9" spans="2:9" ht="19" customHeight="1">
      <c r="B9" s="36" t="s">
        <v>288</v>
      </c>
      <c r="C9" s="36"/>
      <c r="D9" s="36"/>
      <c r="E9" s="36"/>
      <c r="F9" s="36"/>
      <c r="G9" s="36"/>
      <c r="H9" s="36"/>
      <c r="I9" s="36"/>
    </row>
    <row r="10" spans="2:9">
      <c r="B10" s="38" t="s">
        <v>282</v>
      </c>
      <c r="C10" s="38"/>
      <c r="D10" s="38"/>
      <c r="E10" s="38"/>
      <c r="F10" s="38"/>
      <c r="G10" s="38"/>
      <c r="H10" s="38"/>
      <c r="I10" s="38"/>
    </row>
    <row r="11" spans="2:9">
      <c r="B11" s="23"/>
      <c r="C11" s="23"/>
      <c r="D11" s="23"/>
      <c r="E11" s="23"/>
      <c r="F11" s="23"/>
      <c r="G11" s="23"/>
      <c r="H11" s="23"/>
      <c r="I11" s="23"/>
    </row>
    <row r="12" spans="2:9" ht="16" customHeight="1">
      <c r="B12" s="36" t="s">
        <v>289</v>
      </c>
      <c r="C12" s="36"/>
      <c r="D12" s="36"/>
      <c r="E12" s="36"/>
      <c r="F12" s="36"/>
      <c r="G12" s="36"/>
      <c r="H12" s="36"/>
      <c r="I12" s="36"/>
    </row>
    <row r="13" spans="2:9" ht="25" customHeight="1">
      <c r="B13" s="38" t="s">
        <v>283</v>
      </c>
      <c r="C13" s="38"/>
      <c r="D13" s="38"/>
      <c r="E13" s="38"/>
      <c r="F13" s="38"/>
      <c r="G13" s="38"/>
      <c r="H13" s="38"/>
      <c r="I13" s="38"/>
    </row>
    <row r="14" spans="2:9">
      <c r="B14" s="23"/>
      <c r="C14" s="23"/>
      <c r="D14" s="23"/>
      <c r="E14" s="23"/>
      <c r="F14" s="23"/>
      <c r="G14" s="23"/>
      <c r="H14" s="23"/>
      <c r="I14" s="23"/>
    </row>
    <row r="15" spans="2:9">
      <c r="B15" s="36" t="s">
        <v>284</v>
      </c>
      <c r="C15" s="36"/>
      <c r="D15" s="36"/>
      <c r="E15" s="36"/>
      <c r="F15" s="36"/>
      <c r="G15" s="36"/>
      <c r="H15" s="36"/>
      <c r="I15" s="36"/>
    </row>
    <row r="16" spans="2:9">
      <c r="B16" s="37" t="s">
        <v>285</v>
      </c>
      <c r="C16" s="37"/>
      <c r="D16" s="37"/>
      <c r="E16" s="37"/>
      <c r="F16" s="37"/>
      <c r="G16" s="37"/>
      <c r="H16" s="37"/>
      <c r="I16" s="37"/>
    </row>
    <row r="17" spans="2:9">
      <c r="B17" s="23"/>
      <c r="C17" s="23"/>
      <c r="D17" s="23"/>
      <c r="E17" s="23"/>
      <c r="F17" s="23"/>
      <c r="G17" s="23"/>
      <c r="H17" s="23"/>
      <c r="I17" s="23"/>
    </row>
    <row r="18" spans="2:9">
      <c r="B18" s="36" t="s">
        <v>286</v>
      </c>
      <c r="C18" s="36"/>
      <c r="D18" s="36"/>
      <c r="E18" s="36"/>
      <c r="F18" s="36"/>
      <c r="G18" s="36"/>
      <c r="H18" s="36"/>
      <c r="I18" s="36"/>
    </row>
    <row r="19" spans="2:9">
      <c r="B19" s="37" t="s">
        <v>287</v>
      </c>
      <c r="C19" s="37"/>
      <c r="D19" s="37"/>
      <c r="E19" s="37"/>
      <c r="F19" s="37"/>
      <c r="G19" s="37"/>
      <c r="H19" s="37"/>
      <c r="I19" s="37"/>
    </row>
    <row r="20" spans="2:9">
      <c r="B20" s="23"/>
      <c r="C20" s="23"/>
      <c r="D20" s="23"/>
      <c r="E20" s="23"/>
      <c r="F20" s="23"/>
      <c r="G20" s="23"/>
      <c r="H20" s="23"/>
      <c r="I20" s="23"/>
    </row>
    <row r="21" spans="2:9">
      <c r="B21" s="34" t="s">
        <v>290</v>
      </c>
      <c r="C21" s="34"/>
      <c r="D21" s="34"/>
      <c r="E21" s="34"/>
      <c r="F21" s="34"/>
      <c r="G21" s="34"/>
      <c r="H21" s="34"/>
      <c r="I21" s="34"/>
    </row>
    <row r="22" spans="2:9" ht="16" customHeight="1">
      <c r="B22" s="35" t="s">
        <v>278</v>
      </c>
      <c r="C22" s="35"/>
      <c r="D22" s="35"/>
      <c r="E22" s="35"/>
      <c r="F22" s="35"/>
      <c r="G22" s="35"/>
      <c r="H22" s="35"/>
      <c r="I22" s="35"/>
    </row>
    <row r="23" spans="2:9">
      <c r="B23" s="35"/>
      <c r="C23" s="35"/>
      <c r="D23" s="35"/>
      <c r="E23" s="35"/>
      <c r="F23" s="35"/>
      <c r="G23" s="35"/>
      <c r="H23" s="35"/>
      <c r="I23" s="35"/>
    </row>
    <row r="24" spans="2:9">
      <c r="B24" s="35"/>
      <c r="C24" s="35"/>
      <c r="D24" s="35"/>
      <c r="E24" s="35"/>
      <c r="F24" s="35"/>
      <c r="G24" s="35"/>
      <c r="H24" s="35"/>
      <c r="I24" s="35"/>
    </row>
    <row r="25" spans="2:9">
      <c r="B25" s="35"/>
      <c r="C25" s="35"/>
      <c r="D25" s="35"/>
      <c r="E25" s="35"/>
      <c r="F25" s="35"/>
      <c r="G25" s="35"/>
      <c r="H25" s="35"/>
      <c r="I25" s="35"/>
    </row>
    <row r="26" spans="2:9">
      <c r="B26" s="23"/>
      <c r="C26" s="23"/>
      <c r="D26" s="23"/>
      <c r="E26" s="23"/>
      <c r="F26" s="23"/>
      <c r="G26" s="23"/>
      <c r="H26" s="23"/>
      <c r="I26" s="23"/>
    </row>
    <row r="27" spans="2:9">
      <c r="B27" s="29" t="s">
        <v>291</v>
      </c>
      <c r="C27" s="29"/>
      <c r="D27" s="29"/>
      <c r="E27" s="29"/>
      <c r="F27" s="29"/>
      <c r="G27" s="29"/>
      <c r="H27" s="29"/>
      <c r="I27" s="29"/>
    </row>
    <row r="28" spans="2:9" ht="26" customHeight="1">
      <c r="B28" s="30" t="s">
        <v>292</v>
      </c>
      <c r="C28" s="30"/>
      <c r="D28" s="30"/>
      <c r="E28" s="30"/>
      <c r="F28" s="31"/>
      <c r="G28" s="32" t="s">
        <v>293</v>
      </c>
      <c r="H28" s="33"/>
      <c r="I28" s="33"/>
    </row>
    <row r="29" spans="2:9" ht="26" customHeight="1">
      <c r="B29" s="30" t="s">
        <v>294</v>
      </c>
      <c r="C29" s="30"/>
      <c r="D29" s="30"/>
      <c r="E29" s="30"/>
      <c r="F29" s="31"/>
      <c r="G29" s="32" t="s">
        <v>295</v>
      </c>
      <c r="H29" s="33"/>
      <c r="I29" s="33"/>
    </row>
    <row r="30" spans="2:9" ht="29" customHeight="1">
      <c r="B30" s="30" t="s">
        <v>296</v>
      </c>
      <c r="C30" s="30"/>
      <c r="D30" s="30"/>
      <c r="E30" s="30"/>
      <c r="F30" s="31"/>
      <c r="G30" s="32" t="s">
        <v>297</v>
      </c>
      <c r="H30" s="33"/>
      <c r="I30" s="33"/>
    </row>
    <row r="31" spans="2:9" ht="24" customHeight="1">
      <c r="B31" s="30" t="s">
        <v>298</v>
      </c>
      <c r="C31" s="30"/>
      <c r="D31" s="30"/>
      <c r="E31" s="30"/>
      <c r="F31" s="31"/>
      <c r="G31" s="32" t="s">
        <v>299</v>
      </c>
      <c r="H31" s="33"/>
      <c r="I31" s="33"/>
    </row>
  </sheetData>
  <mergeCells count="25">
    <mergeCell ref="B9:I9"/>
    <mergeCell ref="B10:I10"/>
    <mergeCell ref="B2:I3"/>
    <mergeCell ref="B4:I4"/>
    <mergeCell ref="B7:I7"/>
    <mergeCell ref="B8:I8"/>
    <mergeCell ref="B6:I6"/>
    <mergeCell ref="B21:I21"/>
    <mergeCell ref="B22:I25"/>
    <mergeCell ref="B12:I12"/>
    <mergeCell ref="B15:I15"/>
    <mergeCell ref="B16:I16"/>
    <mergeCell ref="B18:I18"/>
    <mergeCell ref="B19:I19"/>
    <mergeCell ref="B13:I13"/>
    <mergeCell ref="B27:I27"/>
    <mergeCell ref="B28:E28"/>
    <mergeCell ref="B29:E29"/>
    <mergeCell ref="B30:E30"/>
    <mergeCell ref="B31:E31"/>
    <mergeCell ref="F28:F31"/>
    <mergeCell ref="G28:I28"/>
    <mergeCell ref="G29:I29"/>
    <mergeCell ref="G30:I30"/>
    <mergeCell ref="G31:I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E59-6E31-3C42-BD20-854EFB10BA05}">
  <dimension ref="A1"/>
  <sheetViews>
    <sheetView tabSelected="1" zoomScale="108" workbookViewId="0">
      <selection activeCell="K20" sqref="K20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Row Data</vt:lpstr>
      <vt:lpstr>Analysis</vt:lpstr>
      <vt:lpstr>Dashboard</vt:lpstr>
      <vt:lpstr>Dictionary</vt:lpstr>
      <vt:lpstr>Documentation</vt:lpstr>
      <vt:lpstr>Business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Muzamil shah</dc:creator>
  <cp:lastModifiedBy>Muzamil shah</cp:lastModifiedBy>
  <dcterms:created xsi:type="dcterms:W3CDTF">2026-06-07T02:16:48Z</dcterms:created>
  <dcterms:modified xsi:type="dcterms:W3CDTF">2026-06-14T05:32:25Z</dcterms:modified>
</cp:coreProperties>
</file>